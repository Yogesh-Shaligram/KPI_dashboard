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hidePivotFieldList="1"/>
  <mc:AlternateContent xmlns:mc="http://schemas.openxmlformats.org/markup-compatibility/2006">
    <mc:Choice Requires="x15">
      <x15ac:absPath xmlns:x15ac="http://schemas.microsoft.com/office/spreadsheetml/2010/11/ac" url="E:\Resume\"/>
    </mc:Choice>
  </mc:AlternateContent>
  <bookViews>
    <workbookView xWindow="0" yWindow="0" windowWidth="23040" windowHeight="9264"/>
  </bookViews>
  <sheets>
    <sheet name="Dashboard" sheetId="6" r:id="rId1"/>
    <sheet name="RawData" sheetId="3" r:id="rId2"/>
  </sheets>
  <definedNames>
    <definedName name="EmpName">CHOOSE(#REF!,Finance,Operation,HR)</definedName>
    <definedName name="EmpName1">CHOOSE(Dashboard!$A$1,Finance,Operation,HR)</definedName>
    <definedName name="Finance">RawData!$A$3:$A$12</definedName>
    <definedName name="Finance_Data">RawData!$B$3:$AE$12</definedName>
    <definedName name="HR">RawData!$A$29:$A$38</definedName>
    <definedName name="HR_Data">RawData!$B$29:$AE$38</definedName>
    <definedName name="Operation">RawData!$A$16:$A$25</definedName>
    <definedName name="Operation_Data">RawData!$B$16:$AE$25</definedName>
    <definedName name="Year">RawData!$B$2:$AE$2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" i="6" l="1"/>
  <c r="S10" i="6"/>
  <c r="L11" i="6"/>
  <c r="J13" i="6" a="1"/>
  <c r="J13" i="6" l="1"/>
  <c r="J17" i="6"/>
  <c r="J21" i="6"/>
  <c r="J19" i="6"/>
  <c r="J20" i="6"/>
  <c r="J14" i="6"/>
  <c r="J18" i="6"/>
  <c r="J22" i="6"/>
  <c r="J15" i="6"/>
  <c r="J16" i="6"/>
  <c r="D25" i="6"/>
  <c r="C25" i="6"/>
  <c r="B25" i="6"/>
  <c r="A16" i="6" l="1"/>
  <c r="C15" i="6" l="1"/>
  <c r="D15" i="6"/>
  <c r="E15" i="6"/>
  <c r="F15" i="6"/>
  <c r="G15" i="6"/>
  <c r="H15" i="6"/>
  <c r="B15" i="6"/>
  <c r="J11" i="6"/>
  <c r="Y1" i="6" l="1"/>
  <c r="W1" i="6"/>
  <c r="U1" i="6"/>
  <c r="Z1" i="6"/>
  <c r="X1" i="6"/>
  <c r="V1" i="6"/>
  <c r="O12" i="6"/>
  <c r="N12" i="6"/>
  <c r="Q12" i="6"/>
  <c r="M12" i="6"/>
  <c r="P12" i="6"/>
  <c r="L12" i="6"/>
  <c r="K12" i="6"/>
  <c r="T1" i="6"/>
  <c r="H19" i="6"/>
  <c r="F19" i="6"/>
  <c r="E19" i="6"/>
  <c r="D19" i="6"/>
  <c r="G19" i="6"/>
  <c r="C19" i="6"/>
  <c r="B19" i="6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B30" i="3"/>
  <c r="B31" i="3"/>
  <c r="B32" i="3"/>
  <c r="B33" i="3"/>
  <c r="B34" i="3"/>
  <c r="B35" i="3"/>
  <c r="B36" i="3"/>
  <c r="B37" i="3"/>
  <c r="B38" i="3"/>
  <c r="B29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B17" i="3"/>
  <c r="B18" i="3"/>
  <c r="B19" i="3"/>
  <c r="B20" i="3"/>
  <c r="B21" i="3"/>
  <c r="B22" i="3"/>
  <c r="B23" i="3"/>
  <c r="B24" i="3"/>
  <c r="B25" i="3"/>
  <c r="B16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B4" i="3"/>
  <c r="B5" i="3"/>
  <c r="B6" i="3"/>
  <c r="B7" i="3"/>
  <c r="B8" i="3"/>
  <c r="B9" i="3"/>
  <c r="B10" i="3"/>
  <c r="B11" i="3"/>
  <c r="B12" i="3"/>
  <c r="B3" i="3"/>
  <c r="G21" i="6"/>
  <c r="F22" i="6"/>
  <c r="H22" i="6"/>
  <c r="D21" i="6"/>
  <c r="E22" i="6"/>
  <c r="C22" i="6"/>
  <c r="C20" i="6"/>
  <c r="G20" i="6"/>
  <c r="G22" i="6"/>
  <c r="C21" i="6"/>
  <c r="B21" i="6"/>
  <c r="U2" i="6" l="1"/>
  <c r="P22" i="6"/>
  <c r="M21" i="6"/>
  <c r="O19" i="6"/>
  <c r="Q17" i="6"/>
  <c r="M17" i="6"/>
  <c r="N16" i="6"/>
  <c r="L14" i="6"/>
  <c r="Q13" i="6"/>
  <c r="M13" i="6"/>
  <c r="K19" i="6"/>
  <c r="K15" i="6"/>
  <c r="N17" i="6"/>
  <c r="O16" i="6"/>
  <c r="K16" i="6"/>
  <c r="P15" i="6"/>
  <c r="Q14" i="6"/>
  <c r="O22" i="6"/>
  <c r="K22" i="6"/>
  <c r="P21" i="6"/>
  <c r="L21" i="6"/>
  <c r="Q20" i="6"/>
  <c r="N19" i="6"/>
  <c r="O18" i="6"/>
  <c r="K18" i="6"/>
  <c r="P17" i="6"/>
  <c r="L17" i="6"/>
  <c r="Q16" i="6"/>
  <c r="M16" i="6"/>
  <c r="N15" i="6"/>
  <c r="O14" i="6"/>
  <c r="K14" i="6"/>
  <c r="P13" i="6"/>
  <c r="L13" i="6"/>
  <c r="Q22" i="6"/>
  <c r="M22" i="6"/>
  <c r="N21" i="6"/>
  <c r="O20" i="6"/>
  <c r="P19" i="6"/>
  <c r="L19" i="6"/>
  <c r="Q18" i="6"/>
  <c r="N22" i="6"/>
  <c r="O21" i="6"/>
  <c r="K21" i="6"/>
  <c r="P20" i="6"/>
  <c r="Q19" i="6"/>
  <c r="M19" i="6"/>
  <c r="N18" i="6"/>
  <c r="O17" i="6"/>
  <c r="K17" i="6"/>
  <c r="P16" i="6"/>
  <c r="L16" i="6"/>
  <c r="Q15" i="6"/>
  <c r="M15" i="6"/>
  <c r="N14" i="6"/>
  <c r="O13" i="6"/>
  <c r="K13" i="6"/>
  <c r="S23" i="6"/>
  <c r="N20" i="6"/>
  <c r="P18" i="6"/>
  <c r="O15" i="6"/>
  <c r="Q21" i="6"/>
  <c r="P14" i="6"/>
  <c r="L22" i="6"/>
  <c r="L18" i="6"/>
  <c r="M18" i="6"/>
  <c r="L15" i="6"/>
  <c r="M14" i="6"/>
  <c r="N13" i="6"/>
  <c r="M20" i="6"/>
  <c r="L20" i="6"/>
  <c r="K20" i="6"/>
  <c r="A26" i="6" a="1"/>
  <c r="C23" i="6"/>
  <c r="G23" i="6"/>
  <c r="F16" i="6"/>
  <c r="F17" i="6" s="1"/>
  <c r="E16" i="6"/>
  <c r="E17" i="6" s="1"/>
  <c r="B16" i="6"/>
  <c r="B17" i="6" s="1"/>
  <c r="H16" i="6"/>
  <c r="H17" i="6" s="1"/>
  <c r="D16" i="6"/>
  <c r="D17" i="6" s="1"/>
  <c r="G16" i="6"/>
  <c r="G17" i="6" s="1"/>
  <c r="C16" i="6"/>
  <c r="C17" i="6" s="1"/>
  <c r="D20" i="6"/>
  <c r="E21" i="6"/>
  <c r="B22" i="6"/>
  <c r="F21" i="6"/>
  <c r="H21" i="6"/>
  <c r="H20" i="6"/>
  <c r="D22" i="6"/>
  <c r="F20" i="6"/>
  <c r="E20" i="6"/>
  <c r="H23" i="6" l="1"/>
  <c r="F23" i="6"/>
  <c r="Z2" i="6"/>
  <c r="X2" i="6"/>
  <c r="Y2" i="6"/>
  <c r="V2" i="6"/>
  <c r="W2" i="6"/>
  <c r="R22" i="6"/>
  <c r="R19" i="6"/>
  <c r="R17" i="6"/>
  <c r="R16" i="6"/>
  <c r="R21" i="6"/>
  <c r="R13" i="6"/>
  <c r="R15" i="6"/>
  <c r="R14" i="6"/>
  <c r="R18" i="6"/>
  <c r="R20" i="6"/>
  <c r="I22" i="6"/>
  <c r="D23" i="6"/>
  <c r="I21" i="6"/>
  <c r="A28" i="6"/>
  <c r="A32" i="6"/>
  <c r="A29" i="6"/>
  <c r="A26" i="6"/>
  <c r="A30" i="6"/>
  <c r="A27" i="6"/>
  <c r="A31" i="6"/>
  <c r="E23" i="6"/>
  <c r="B20" i="6"/>
  <c r="T2" i="6" l="1"/>
  <c r="I20" i="6"/>
  <c r="C26" i="6"/>
  <c r="D29" i="6"/>
  <c r="C32" i="6"/>
  <c r="C28" i="6"/>
  <c r="D28" i="6"/>
  <c r="D27" i="6"/>
  <c r="D31" i="6"/>
  <c r="C30" i="6"/>
  <c r="D26" i="6"/>
  <c r="C29" i="6"/>
  <c r="D32" i="6"/>
  <c r="C31" i="6"/>
  <c r="D30" i="6"/>
  <c r="C27" i="6"/>
  <c r="B31" i="6"/>
  <c r="B30" i="6"/>
  <c r="B27" i="6"/>
  <c r="B32" i="6"/>
  <c r="B29" i="6"/>
  <c r="B28" i="6"/>
  <c r="B26" i="6"/>
  <c r="B23" i="6"/>
  <c r="F26" i="6" l="1"/>
  <c r="F28" i="6"/>
  <c r="F29" i="6"/>
  <c r="F31" i="6"/>
  <c r="F30" i="6"/>
  <c r="F27" i="6"/>
  <c r="F32" i="6"/>
</calcChain>
</file>

<file path=xl/sharedStrings.xml><?xml version="1.0" encoding="utf-8"?>
<sst xmlns="http://schemas.openxmlformats.org/spreadsheetml/2006/main" count="48" uniqueCount="40">
  <si>
    <t>Finance</t>
  </si>
  <si>
    <t>EMPNAME</t>
  </si>
  <si>
    <t>Operation</t>
  </si>
  <si>
    <t>HR</t>
  </si>
  <si>
    <t>Year</t>
  </si>
  <si>
    <t>Dept</t>
  </si>
  <si>
    <t>Sparklines</t>
  </si>
  <si>
    <t>Data Bar</t>
  </si>
  <si>
    <t>TARGET</t>
  </si>
  <si>
    <t>Gross</t>
  </si>
  <si>
    <t>Employee Name</t>
  </si>
  <si>
    <t>SUJATA MOHANTY</t>
  </si>
  <si>
    <t>SURAJ RAJPUT</t>
  </si>
  <si>
    <t>PRAMOD BHAVSAR</t>
  </si>
  <si>
    <t>SATSH OJHA</t>
  </si>
  <si>
    <t>SINTU KUMAR</t>
  </si>
  <si>
    <t>KRUTIKA SHELAR</t>
  </si>
  <si>
    <t>ARJUN SHAW</t>
  </si>
  <si>
    <t>SHRIKANT BADGE</t>
  </si>
  <si>
    <t>JITENDER KUMAR</t>
  </si>
  <si>
    <t>DHARMENDAR RANA</t>
  </si>
  <si>
    <t>HARIVANSH GAUTAM</t>
  </si>
  <si>
    <t>VINI SAINI</t>
  </si>
  <si>
    <t>ANAND SINGH RAJPUT</t>
  </si>
  <si>
    <t>JAISHRI SAXENA</t>
  </si>
  <si>
    <t>VIRENDER SROHA</t>
  </si>
  <si>
    <t>SANDEEP ASWAL</t>
  </si>
  <si>
    <t>KARAN KAPOOR</t>
  </si>
  <si>
    <t>SUDHAKAR ARYA</t>
  </si>
  <si>
    <t>MANPREET KAUR</t>
  </si>
  <si>
    <t>EKANSHIKA KALRA</t>
  </si>
  <si>
    <t>HEMANT GUSAIN</t>
  </si>
  <si>
    <t>SARTHAK BHAGU</t>
  </si>
  <si>
    <t>GOPALA KRISHNA</t>
  </si>
  <si>
    <t>PURAN SINGH</t>
  </si>
  <si>
    <t>ROHIT KUMAR</t>
  </si>
  <si>
    <t>VENKAT REDDY</t>
  </si>
  <si>
    <t>MANJEET ANAND</t>
  </si>
  <si>
    <t>VICKY SINGH</t>
  </si>
  <si>
    <t>TEJPAL SAIN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</si>
</sst>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4" fillId="2" borderId="0" applyNumberFormat="0" applyBorder="0" applyAlignment="0" applyProtection="0"/>
    <xf numFmtId="0" fontId="2" fillId="0" borderId="0"/>
  </cellStyleXfs>
  <cellXfs count="19">
    <xf numFmtId="0" fontId="0" fillId="0" borderId="0" xfId="0"/>
    <xf numFmtId="0" fontId="1" fillId="0" borderId="0" xfId="0" applyFont="1"/>
    <xf numFmtId="0" fontId="2" fillId="0" borderId="2" xfId="0" applyFont="1" applyBorder="1"/>
    <xf numFmtId="0" fontId="2" fillId="0" borderId="0" xfId="0" applyFont="1" applyBorder="1"/>
    <xf numFmtId="0" fontId="2" fillId="0" borderId="0" xfId="0" applyFont="1" applyFill="1" applyBorder="1"/>
    <xf numFmtId="0" fontId="0" fillId="0" borderId="2" xfId="0" applyBorder="1"/>
    <xf numFmtId="0" fontId="1" fillId="0" borderId="1" xfId="1"/>
    <xf numFmtId="0" fontId="4" fillId="2" borderId="0" xfId="2"/>
    <xf numFmtId="0" fontId="1" fillId="2" borderId="1" xfId="1" applyFill="1"/>
    <xf numFmtId="0" fontId="1" fillId="2" borderId="3" xfId="1" applyFill="1" applyBorder="1"/>
    <xf numFmtId="0" fontId="1" fillId="0" borderId="3" xfId="1" applyBorder="1"/>
    <xf numFmtId="0" fontId="0" fillId="0" borderId="2" xfId="0" applyBorder="1" applyAlignment="1">
      <alignment horizontal="left"/>
    </xf>
    <xf numFmtId="0" fontId="1" fillId="0" borderId="2" xfId="0" applyFont="1" applyBorder="1"/>
    <xf numFmtId="0" fontId="1" fillId="2" borderId="2" xfId="1" applyFill="1" applyBorder="1"/>
    <xf numFmtId="0" fontId="0" fillId="3" borderId="0" xfId="0" applyFill="1"/>
    <xf numFmtId="0" fontId="1" fillId="3" borderId="0" xfId="1" applyFill="1" applyBorder="1"/>
    <xf numFmtId="0" fontId="4" fillId="3" borderId="0" xfId="0" applyFont="1" applyFill="1"/>
    <xf numFmtId="0" fontId="4" fillId="0" borderId="0" xfId="0" applyFont="1"/>
    <xf numFmtId="0" fontId="0" fillId="4" borderId="0" xfId="0" applyFill="1"/>
  </cellXfs>
  <cellStyles count="4">
    <cellStyle name="Accent2" xfId="2" builtinId="33"/>
    <cellStyle name="Normal" xfId="0" builtinId="0"/>
    <cellStyle name="Normal 3" xfId="3"/>
    <cellStyle name="Total" xfId="1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Dashboard!$A$16</c:f>
          <c:strCache>
            <c:ptCount val="1"/>
            <c:pt idx="0">
              <c:v>SARTHAK BHAGU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Dashboard!$A$16</c:f>
              <c:strCache>
                <c:ptCount val="1"/>
                <c:pt idx="0">
                  <c:v>SARTHAK BHAGU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Dashboard!$B$15:$H$15</c:f>
              <c:numCache>
                <c:formatCode>General</c:formatCode>
                <c:ptCount val="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</c:numCache>
            </c:numRef>
          </c:cat>
          <c:val>
            <c:numRef>
              <c:f>Dashboard!$B$16:$H$16</c:f>
              <c:numCache>
                <c:formatCode>General</c:formatCode>
                <c:ptCount val="7"/>
                <c:pt idx="0">
                  <c:v>101</c:v>
                </c:pt>
                <c:pt idx="1">
                  <c:v>507</c:v>
                </c:pt>
                <c:pt idx="2">
                  <c:v>110</c:v>
                </c:pt>
                <c:pt idx="3">
                  <c:v>802</c:v>
                </c:pt>
                <c:pt idx="4">
                  <c:v>217</c:v>
                </c:pt>
                <c:pt idx="5">
                  <c:v>169</c:v>
                </c:pt>
                <c:pt idx="6">
                  <c:v>468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BC6-4AE3-AA8C-4612412AD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28512592"/>
        <c:axId val="1428515312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Dashboard!$A$15</c15:sqref>
                        </c15:formulaRef>
                      </c:ext>
                    </c:extLst>
                    <c:strCache>
                      <c:ptCount val="1"/>
                      <c:pt idx="0">
                        <c:v>SARTHAK BHAGU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Dashboard!$B$15:$H$15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2001</c:v>
                      </c:pt>
                      <c:pt idx="1">
                        <c:v>2002</c:v>
                      </c:pt>
                      <c:pt idx="2">
                        <c:v>2003</c:v>
                      </c:pt>
                      <c:pt idx="3">
                        <c:v>2004</c:v>
                      </c:pt>
                      <c:pt idx="4">
                        <c:v>2005</c:v>
                      </c:pt>
                      <c:pt idx="5">
                        <c:v>2006</c:v>
                      </c:pt>
                      <c:pt idx="6">
                        <c:v>2007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Dashboard!$B$15:$H$15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2001</c:v>
                      </c:pt>
                      <c:pt idx="1">
                        <c:v>2002</c:v>
                      </c:pt>
                      <c:pt idx="2">
                        <c:v>2003</c:v>
                      </c:pt>
                      <c:pt idx="3">
                        <c:v>2004</c:v>
                      </c:pt>
                      <c:pt idx="4">
                        <c:v>2005</c:v>
                      </c:pt>
                      <c:pt idx="5">
                        <c:v>2006</c:v>
                      </c:pt>
                      <c:pt idx="6">
                        <c:v>2007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EBC6-4AE3-AA8C-4612412ADF4C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Dashboard!$A$17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Dashboard!$B$15:$H$15</c:f>
              <c:numCache>
                <c:formatCode>General</c:formatCode>
                <c:ptCount val="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</c:numCache>
            </c:numRef>
          </c:cat>
          <c:val>
            <c:numRef>
              <c:f>Dashboard!$B$17:$H$17</c:f>
              <c:numCache>
                <c:formatCode>General</c:formatCode>
                <c:ptCount val="7"/>
                <c:pt idx="0">
                  <c:v>103</c:v>
                </c:pt>
                <c:pt idx="1">
                  <c:v>513</c:v>
                </c:pt>
                <c:pt idx="2">
                  <c:v>113</c:v>
                </c:pt>
                <c:pt idx="3">
                  <c:v>805</c:v>
                </c:pt>
                <c:pt idx="4">
                  <c:v>218</c:v>
                </c:pt>
                <c:pt idx="5">
                  <c:v>171</c:v>
                </c:pt>
                <c:pt idx="6">
                  <c:v>478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BC6-4AE3-AA8C-4612412AD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8512592"/>
        <c:axId val="1428515312"/>
      </c:lineChart>
      <c:catAx>
        <c:axId val="142851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515312"/>
        <c:crosses val="autoZero"/>
        <c:auto val="1"/>
        <c:lblAlgn val="ctr"/>
        <c:lblOffset val="100"/>
        <c:noMultiLvlLbl val="0"/>
      </c:catAx>
      <c:valAx>
        <c:axId val="142851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512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Dashboard!$S$23</c:f>
          <c:strCache>
            <c:ptCount val="1"/>
            <c:pt idx="0">
              <c:v>Departmentwise Report from 2001 to 2007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Dashboard!$A$20:$A$22</c:f>
              <c:strCache>
                <c:ptCount val="3"/>
                <c:pt idx="0">
                  <c:v>Finance</c:v>
                </c:pt>
                <c:pt idx="1">
                  <c:v>Operation</c:v>
                </c:pt>
                <c:pt idx="2">
                  <c:v>HR</c:v>
                </c:pt>
              </c:strCache>
            </c:strRef>
          </c:cat>
          <c:val>
            <c:numRef>
              <c:f>Dashboard!$I$20:$I$22</c:f>
              <c:numCache>
                <c:formatCode>General</c:formatCode>
                <c:ptCount val="3"/>
                <c:pt idx="0">
                  <c:v>35022</c:v>
                </c:pt>
                <c:pt idx="1">
                  <c:v>35647</c:v>
                </c:pt>
                <c:pt idx="2">
                  <c:v>32152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811-4400-9918-81CBF80AA6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28516944"/>
        <c:axId val="1428517488"/>
      </c:barChart>
      <c:catAx>
        <c:axId val="1428516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517488"/>
        <c:crosses val="autoZero"/>
        <c:auto val="1"/>
        <c:lblAlgn val="ctr"/>
        <c:lblOffset val="100"/>
        <c:noMultiLvlLbl val="0"/>
      </c:catAx>
      <c:valAx>
        <c:axId val="14285174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51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Dashboard!$S$10</c:f>
          <c:strCache>
            <c:ptCount val="1"/>
            <c:pt idx="0">
              <c:v>Employeewise Revenue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F29-4A1C-BCCA-E8C2DAC926D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F29-4A1C-BCCA-E8C2DAC926D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F29-4A1C-BCCA-E8C2DAC926D7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F29-4A1C-BCCA-E8C2DAC926D7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3F29-4A1C-BCCA-E8C2DAC926D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3F29-4A1C-BCCA-E8C2DAC926D7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3F29-4A1C-BCCA-E8C2DAC926D7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3F29-4A1C-BCCA-E8C2DAC926D7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3F29-4A1C-BCCA-E8C2DAC926D7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3F29-4A1C-BCCA-E8C2DAC926D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Dashboard!$J$13:$J$22</c:f>
              <c:strCache>
                <c:ptCount val="10"/>
                <c:pt idx="0">
                  <c:v>EKANSHIKA KALRA</c:v>
                </c:pt>
                <c:pt idx="1">
                  <c:v>HEMANT GUSAIN</c:v>
                </c:pt>
                <c:pt idx="2">
                  <c:v>SARTHAK BHAGU</c:v>
                </c:pt>
                <c:pt idx="3">
                  <c:v>GOPALA KRISHNA</c:v>
                </c:pt>
                <c:pt idx="4">
                  <c:v>PURAN SINGH</c:v>
                </c:pt>
                <c:pt idx="5">
                  <c:v>ROHIT KUMAR</c:v>
                </c:pt>
                <c:pt idx="6">
                  <c:v>VENKAT REDDY</c:v>
                </c:pt>
                <c:pt idx="7">
                  <c:v>MANJEET ANAND</c:v>
                </c:pt>
                <c:pt idx="8">
                  <c:v>VICKY SINGH</c:v>
                </c:pt>
                <c:pt idx="9">
                  <c:v>TEJPAL SAIN</c:v>
                </c:pt>
              </c:strCache>
            </c:strRef>
          </c:cat>
          <c:val>
            <c:numRef>
              <c:f>Dashboard!$R$13:$R$22</c:f>
              <c:numCache>
                <c:formatCode>General</c:formatCode>
                <c:ptCount val="10"/>
                <c:pt idx="0">
                  <c:v>3387</c:v>
                </c:pt>
                <c:pt idx="1">
                  <c:v>2486</c:v>
                </c:pt>
                <c:pt idx="2">
                  <c:v>2374</c:v>
                </c:pt>
                <c:pt idx="3">
                  <c:v>3758</c:v>
                </c:pt>
                <c:pt idx="4">
                  <c:v>2844</c:v>
                </c:pt>
                <c:pt idx="5">
                  <c:v>3448</c:v>
                </c:pt>
                <c:pt idx="6">
                  <c:v>4387</c:v>
                </c:pt>
                <c:pt idx="7">
                  <c:v>2934</c:v>
                </c:pt>
                <c:pt idx="8">
                  <c:v>3482</c:v>
                </c:pt>
                <c:pt idx="9">
                  <c:v>3052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4-3F29-4A1C-BCCA-E8C2DAC92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28518032"/>
        <c:axId val="1428518576"/>
      </c:barChart>
      <c:catAx>
        <c:axId val="142851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518576"/>
        <c:crosses val="autoZero"/>
        <c:auto val="1"/>
        <c:lblAlgn val="ctr"/>
        <c:lblOffset val="100"/>
        <c:noMultiLvlLbl val="0"/>
      </c:catAx>
      <c:valAx>
        <c:axId val="142851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51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Dashboard!$S$2</c:f>
          <c:strCache>
            <c:ptCount val="1"/>
            <c:pt idx="0">
              <c:v>HR</c:v>
            </c:pt>
          </c:strCache>
        </c:strRef>
      </c:tx>
      <c:layout>
        <c:manualLayout>
          <c:xMode val="edge"/>
          <c:yMode val="edge"/>
          <c:x val="0.38065089515464706"/>
          <c:y val="8.2340417714932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FCF-4515-A7A7-3ED440CA10E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FCF-4515-A7A7-3ED440CA10E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FCF-4515-A7A7-3ED440CA10E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2FCF-4515-A7A7-3ED440CA10E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2FCF-4515-A7A7-3ED440CA10E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2FCF-4515-A7A7-3ED440CA10E9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2FCF-4515-A7A7-3ED440CA10E9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numRef>
              <c:f>Dashboard!$T$1:$Z$1</c:f>
              <c:numCache>
                <c:formatCode>General</c:formatCode>
                <c:ptCount val="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</c:numCache>
            </c:numRef>
          </c:cat>
          <c:val>
            <c:numRef>
              <c:f>Dashboard!$T$2:$Z$2</c:f>
              <c:numCache>
                <c:formatCode>General</c:formatCode>
                <c:ptCount val="7"/>
                <c:pt idx="0">
                  <c:v>4880</c:v>
                </c:pt>
                <c:pt idx="1">
                  <c:v>5397</c:v>
                </c:pt>
                <c:pt idx="2">
                  <c:v>5099</c:v>
                </c:pt>
                <c:pt idx="3">
                  <c:v>4568</c:v>
                </c:pt>
                <c:pt idx="4">
                  <c:v>3556</c:v>
                </c:pt>
                <c:pt idx="5">
                  <c:v>3978</c:v>
                </c:pt>
                <c:pt idx="6">
                  <c:v>4674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2FCF-4515-A7A7-3ED440CA10E9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2FCF-4515-A7A7-3ED440CA10E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2FCF-4515-A7A7-3ED440CA10E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4-2FCF-4515-A7A7-3ED440CA10E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6-2FCF-4515-A7A7-3ED440CA10E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8-2FCF-4515-A7A7-3ED440CA10E9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A-2FCF-4515-A7A7-3ED440CA10E9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C-2FCF-4515-A7A7-3ED440CA10E9}"/>
              </c:ext>
            </c:extLst>
          </c:dPt>
          <c:cat>
            <c:numRef>
              <c:f>Dashboard!$T$1:$Z$1</c:f>
              <c:numCache>
                <c:formatCode>General</c:formatCode>
                <c:ptCount val="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</c:numCache>
            </c:numRef>
          </c:cat>
          <c:val>
            <c:numRef>
              <c:f>Dashboard!$T$2:$Z$2</c:f>
              <c:numCache>
                <c:formatCode>General</c:formatCode>
                <c:ptCount val="7"/>
                <c:pt idx="0">
                  <c:v>4880</c:v>
                </c:pt>
                <c:pt idx="1">
                  <c:v>5397</c:v>
                </c:pt>
                <c:pt idx="2">
                  <c:v>5099</c:v>
                </c:pt>
                <c:pt idx="3">
                  <c:v>4568</c:v>
                </c:pt>
                <c:pt idx="4">
                  <c:v>3556</c:v>
                </c:pt>
                <c:pt idx="5">
                  <c:v>3978</c:v>
                </c:pt>
                <c:pt idx="6">
                  <c:v>4674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D-2FCF-4515-A7A7-3ED440CA1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Radio" firstButton="1" fmlaLink="$A$1" lockText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Drop" dropStyle="combo" dx="16" fmlaLink="$B$1" fmlaRange="EmpName1" sel="3" val="0"/>
</file>

<file path=xl/ctrlProps/ctrlProp5.xml><?xml version="1.0" encoding="utf-8"?>
<formControlPr xmlns="http://schemas.microsoft.com/office/spreadsheetml/2009/9/main" objectType="Scroll" dx="22" fmlaLink="$C$1" horiz="1" max="30" page="10" val="0"/>
</file>

<file path=xl/ctrlProps/ctrlProp6.xml><?xml version="1.0" encoding="utf-8"?>
<formControlPr xmlns="http://schemas.microsoft.com/office/spreadsheetml/2009/9/main" objectType="List" dx="22" fmlaLink="$H$25" fmlaRange="$A$26:$A$31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0</xdr:row>
      <xdr:rowOff>47625</xdr:rowOff>
    </xdr:from>
    <xdr:to>
      <xdr:col>14</xdr:col>
      <xdr:colOff>600075</xdr:colOff>
      <xdr:row>3</xdr:row>
      <xdr:rowOff>47625</xdr:rowOff>
    </xdr:to>
    <xdr:sp macro="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5495925" y="47625"/>
          <a:ext cx="3638550" cy="5715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259080</xdr:colOff>
          <xdr:row>1</xdr:row>
          <xdr:rowOff>45720</xdr:rowOff>
        </xdr:from>
        <xdr:to>
          <xdr:col>10</xdr:col>
          <xdr:colOff>228600</xdr:colOff>
          <xdr:row>2</xdr:row>
          <xdr:rowOff>121920</xdr:rowOff>
        </xdr:to>
        <xdr:sp macro="" textlink="">
          <xdr:nvSpPr>
            <xdr:cNvPr id="4097" name="Option 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144780</xdr:colOff>
          <xdr:row>1</xdr:row>
          <xdr:rowOff>38100</xdr:rowOff>
        </xdr:from>
        <xdr:to>
          <xdr:col>12</xdr:col>
          <xdr:colOff>502920</xdr:colOff>
          <xdr:row>2</xdr:row>
          <xdr:rowOff>114300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OPERATION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</xdr:row>
          <xdr:rowOff>38100</xdr:rowOff>
        </xdr:from>
        <xdr:to>
          <xdr:col>14</xdr:col>
          <xdr:colOff>441960</xdr:colOff>
          <xdr:row>2</xdr:row>
          <xdr:rowOff>114300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HR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66675</xdr:colOff>
      <xdr:row>4</xdr:row>
      <xdr:rowOff>0</xdr:rowOff>
    </xdr:from>
    <xdr:to>
      <xdr:col>14</xdr:col>
      <xdr:colOff>581025</xdr:colOff>
      <xdr:row>6</xdr:row>
      <xdr:rowOff>161925</xdr:rowOff>
    </xdr:to>
    <xdr:sp macro="" textlink="">
      <xdr:nvSpPr>
        <xdr:cNvPr id="3" name="Rectangl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5553075" y="762000"/>
          <a:ext cx="3562350" cy="5429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152400</xdr:colOff>
      <xdr:row>4</xdr:row>
      <xdr:rowOff>152400</xdr:rowOff>
    </xdr:from>
    <xdr:to>
      <xdr:col>11</xdr:col>
      <xdr:colOff>161925</xdr:colOff>
      <xdr:row>6</xdr:row>
      <xdr:rowOff>19050</xdr:rowOff>
    </xdr:to>
    <xdr:sp macro="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638800" y="914400"/>
          <a:ext cx="1228725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1"/>
            <a:t>EMPLOYEE NAME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274320</xdr:colOff>
          <xdr:row>4</xdr:row>
          <xdr:rowOff>144780</xdr:rowOff>
        </xdr:from>
        <xdr:to>
          <xdr:col>14</xdr:col>
          <xdr:colOff>464820</xdr:colOff>
          <xdr:row>6</xdr:row>
          <xdr:rowOff>0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=""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28574</xdr:colOff>
      <xdr:row>12</xdr:row>
      <xdr:rowOff>19051</xdr:rowOff>
    </xdr:from>
    <xdr:to>
      <xdr:col>8</xdr:col>
      <xdr:colOff>66674</xdr:colOff>
      <xdr:row>13</xdr:row>
      <xdr:rowOff>152401</xdr:rowOff>
    </xdr:to>
    <xdr:sp macro="" textlink="">
      <xdr:nvSpPr>
        <xdr:cNvPr id="5" name="Rounded Rectangle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8574" y="2170580"/>
          <a:ext cx="5721724" cy="312645"/>
        </a:xfrm>
        <a:prstGeom prst="roundRect">
          <a:avLst/>
        </a:pr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259080</xdr:colOff>
          <xdr:row>12</xdr:row>
          <xdr:rowOff>106680</xdr:rowOff>
        </xdr:from>
        <xdr:to>
          <xdr:col>7</xdr:col>
          <xdr:colOff>381000</xdr:colOff>
          <xdr:row>13</xdr:row>
          <xdr:rowOff>99060</xdr:rowOff>
        </xdr:to>
        <xdr:sp macro="" textlink="">
          <xdr:nvSpPr>
            <xdr:cNvPr id="4101" name="Scroll Ba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=""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9915</xdr:colOff>
      <xdr:row>12</xdr:row>
      <xdr:rowOff>9719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36933</xdr:colOff>
      <xdr:row>22</xdr:row>
      <xdr:rowOff>13413</xdr:rowOff>
    </xdr:from>
    <xdr:to>
      <xdr:col>16</xdr:col>
      <xdr:colOff>322683</xdr:colOff>
      <xdr:row>36</xdr:row>
      <xdr:rowOff>6026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25</xdr:row>
          <xdr:rowOff>7620</xdr:rowOff>
        </xdr:from>
        <xdr:to>
          <xdr:col>7</xdr:col>
          <xdr:colOff>487680</xdr:colOff>
          <xdr:row>31</xdr:row>
          <xdr:rowOff>144780</xdr:rowOff>
        </xdr:to>
        <xdr:sp macro="" textlink="">
          <xdr:nvSpPr>
            <xdr:cNvPr id="4102" name="List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=""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299358</xdr:colOff>
      <xdr:row>7</xdr:row>
      <xdr:rowOff>3692</xdr:rowOff>
    </xdr:from>
    <xdr:to>
      <xdr:col>16</xdr:col>
      <xdr:colOff>583163</xdr:colOff>
      <xdr:row>22</xdr:row>
      <xdr:rowOff>9719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19438</xdr:colOff>
      <xdr:row>0</xdr:row>
      <xdr:rowOff>0</xdr:rowOff>
    </xdr:from>
    <xdr:to>
      <xdr:col>25</xdr:col>
      <xdr:colOff>602602</xdr:colOff>
      <xdr:row>21</xdr:row>
      <xdr:rowOff>155059</xdr:rowOff>
    </xdr:to>
    <xdr:graphicFrame macro="">
      <xdr:nvGraphicFramePr>
        <xdr:cNvPr id="10" name="Chart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Z37"/>
  <sheetViews>
    <sheetView tabSelected="1" zoomScale="85" zoomScaleNormal="85" workbookViewId="0">
      <selection activeCell="A15" sqref="A15"/>
    </sheetView>
  </sheetViews>
  <sheetFormatPr defaultRowHeight="14.4" x14ac:dyDescent="0.3"/>
  <cols>
    <col min="1" max="1" width="19.88671875" bestFit="1" customWidth="1"/>
    <col min="5" max="5" width="9.6640625" customWidth="1"/>
    <col min="9" max="9" width="4.5546875" customWidth="1"/>
    <col min="10" max="10" width="15" customWidth="1"/>
    <col min="18" max="18" width="2.6640625" customWidth="1"/>
  </cols>
  <sheetData>
    <row r="1" spans="1:26" x14ac:dyDescent="0.3">
      <c r="A1">
        <v>3</v>
      </c>
      <c r="B1">
        <v>3</v>
      </c>
      <c r="C1">
        <v>0</v>
      </c>
      <c r="I1" s="14"/>
      <c r="R1" s="16"/>
      <c r="S1" t="s">
        <v>5</v>
      </c>
      <c r="T1">
        <f t="shared" ref="T1:Z1" ca="1" si="0">B15</f>
        <v>2001</v>
      </c>
      <c r="U1">
        <f t="shared" ca="1" si="0"/>
        <v>2002</v>
      </c>
      <c r="V1">
        <f t="shared" ca="1" si="0"/>
        <v>2003</v>
      </c>
      <c r="W1">
        <f t="shared" ca="1" si="0"/>
        <v>2004</v>
      </c>
      <c r="X1">
        <f t="shared" ca="1" si="0"/>
        <v>2005</v>
      </c>
      <c r="Y1">
        <f t="shared" ca="1" si="0"/>
        <v>2006</v>
      </c>
      <c r="Z1">
        <f t="shared" ca="1" si="0"/>
        <v>2007</v>
      </c>
    </row>
    <row r="2" spans="1:26" x14ac:dyDescent="0.3">
      <c r="I2" s="14"/>
      <c r="R2" s="16"/>
      <c r="S2" t="str">
        <f>CHOOSE($A$1,"Finance","Operation","HR")</f>
        <v>HR</v>
      </c>
      <c r="T2">
        <f t="shared" ref="T2:Z2" ca="1" si="1">VLOOKUP($S2,$A$20:$H$22,MATCH(T$1,$A$19:$H$19,0),0)</f>
        <v>4880</v>
      </c>
      <c r="U2">
        <f t="shared" ca="1" si="1"/>
        <v>5397</v>
      </c>
      <c r="V2">
        <f t="shared" ca="1" si="1"/>
        <v>5099</v>
      </c>
      <c r="W2">
        <f t="shared" ca="1" si="1"/>
        <v>4568</v>
      </c>
      <c r="X2">
        <f t="shared" ca="1" si="1"/>
        <v>3556</v>
      </c>
      <c r="Y2">
        <f t="shared" ca="1" si="1"/>
        <v>3978</v>
      </c>
      <c r="Z2">
        <f t="shared" ca="1" si="1"/>
        <v>4674</v>
      </c>
    </row>
    <row r="3" spans="1:26" x14ac:dyDescent="0.3">
      <c r="I3" s="14"/>
      <c r="R3" s="16"/>
    </row>
    <row r="4" spans="1:26" x14ac:dyDescent="0.3">
      <c r="I4" s="14"/>
      <c r="R4" s="16"/>
    </row>
    <row r="5" spans="1:26" x14ac:dyDescent="0.3">
      <c r="I5" s="14"/>
      <c r="R5" s="16"/>
    </row>
    <row r="6" spans="1:26" x14ac:dyDescent="0.3">
      <c r="I6" s="14"/>
      <c r="R6" s="16"/>
    </row>
    <row r="7" spans="1:26" x14ac:dyDescent="0.3">
      <c r="I7" s="14"/>
      <c r="R7" s="16"/>
    </row>
    <row r="8" spans="1:26" x14ac:dyDescent="0.3">
      <c r="I8" s="14"/>
      <c r="R8" s="16"/>
    </row>
    <row r="9" spans="1:26" x14ac:dyDescent="0.3">
      <c r="I9" s="14"/>
      <c r="R9" s="16"/>
    </row>
    <row r="10" spans="1:26" x14ac:dyDescent="0.3">
      <c r="I10" s="14"/>
      <c r="R10" s="16"/>
      <c r="S10" t="str">
        <f>"Employeewise Revenue"</f>
        <v>Employeewise Revenue</v>
      </c>
    </row>
    <row r="11" spans="1:26" x14ac:dyDescent="0.3">
      <c r="I11" s="14"/>
      <c r="J11" t="e">
        <f>CHOOSE($A$1,Finance,Operation,HR)</f>
        <v>#VALUE!</v>
      </c>
      <c r="L11" t="str">
        <f>CHOOSE($A$1,"Finance","Operation","HR")</f>
        <v>HR</v>
      </c>
      <c r="R11" s="16"/>
    </row>
    <row r="12" spans="1:26" x14ac:dyDescent="0.3">
      <c r="I12" s="14"/>
      <c r="J12" s="1" t="s">
        <v>10</v>
      </c>
      <c r="K12" s="1">
        <f t="shared" ref="K12:Q12" ca="1" si="2">B15</f>
        <v>2001</v>
      </c>
      <c r="L12" s="1">
        <f t="shared" ca="1" si="2"/>
        <v>2002</v>
      </c>
      <c r="M12" s="1">
        <f t="shared" ca="1" si="2"/>
        <v>2003</v>
      </c>
      <c r="N12" s="1">
        <f t="shared" ca="1" si="2"/>
        <v>2004</v>
      </c>
      <c r="O12" s="1">
        <f t="shared" ca="1" si="2"/>
        <v>2005</v>
      </c>
      <c r="P12" s="1">
        <f t="shared" ca="1" si="2"/>
        <v>2006</v>
      </c>
      <c r="Q12" s="1">
        <f t="shared" ca="1" si="2"/>
        <v>2007</v>
      </c>
      <c r="R12" s="16"/>
    </row>
    <row r="13" spans="1:26" x14ac:dyDescent="0.3">
      <c r="I13" s="14"/>
      <c r="J13" t="str">
        <f t="array" aca="1" ref="J13:J22" ca="1">INDIRECT(L11)</f>
        <v>EKANSHIKA KALRA</v>
      </c>
      <c r="K13">
        <f ca="1">VLOOKUP($J13,RawData!$A$2:$AE$38,MATCH(Dashboard!K$12,RawData!$A$2:$AE$2,0),0)</f>
        <v>450</v>
      </c>
      <c r="L13">
        <f ca="1">VLOOKUP($J13,RawData!$A$2:$AE$38,MATCH(Dashboard!L$12,RawData!$A$2:$AE$2,0),0)</f>
        <v>893</v>
      </c>
      <c r="M13">
        <f ca="1">VLOOKUP($J13,RawData!$A$2:$AE$38,MATCH(Dashboard!M$12,RawData!$A$2:$AE$2,0),0)</f>
        <v>505</v>
      </c>
      <c r="N13">
        <f ca="1">VLOOKUP($J13,RawData!$A$2:$AE$38,MATCH(Dashboard!N$12,RawData!$A$2:$AE$2,0),0)</f>
        <v>540</v>
      </c>
      <c r="O13">
        <f ca="1">VLOOKUP($J13,RawData!$A$2:$AE$38,MATCH(Dashboard!O$12,RawData!$A$2:$AE$2,0),0)</f>
        <v>117</v>
      </c>
      <c r="P13">
        <f ca="1">VLOOKUP($J13,RawData!$A$2:$AE$38,MATCH(Dashboard!P$12,RawData!$A$2:$AE$2,0),0)</f>
        <v>486</v>
      </c>
      <c r="Q13">
        <f ca="1">VLOOKUP($J13,RawData!$A$2:$AE$38,MATCH(Dashboard!Q$12,RawData!$A$2:$AE$2,0),0)</f>
        <v>396</v>
      </c>
      <c r="R13" s="16">
        <f ca="1">SUM(K13:Q13)</f>
        <v>3387</v>
      </c>
    </row>
    <row r="14" spans="1:26" x14ac:dyDescent="0.3">
      <c r="I14" s="14"/>
      <c r="J14" t="str">
        <f ca="1"/>
        <v>HEMANT GUSAIN</v>
      </c>
      <c r="K14">
        <f ca="1">VLOOKUP($J14,RawData!$A$2:$AE$38,MATCH(Dashboard!K$12,RawData!$A$2:$AE$2,0),0)</f>
        <v>281</v>
      </c>
      <c r="L14">
        <f ca="1">VLOOKUP($J14,RawData!$A$2:$AE$38,MATCH(Dashboard!L$12,RawData!$A$2:$AE$2,0),0)</f>
        <v>765</v>
      </c>
      <c r="M14">
        <f ca="1">VLOOKUP($J14,RawData!$A$2:$AE$38,MATCH(Dashboard!M$12,RawData!$A$2:$AE$2,0),0)</f>
        <v>495</v>
      </c>
      <c r="N14">
        <f ca="1">VLOOKUP($J14,RawData!$A$2:$AE$38,MATCH(Dashboard!N$12,RawData!$A$2:$AE$2,0),0)</f>
        <v>528</v>
      </c>
      <c r="O14">
        <f ca="1">VLOOKUP($J14,RawData!$A$2:$AE$38,MATCH(Dashboard!O$12,RawData!$A$2:$AE$2,0),0)</f>
        <v>114</v>
      </c>
      <c r="P14">
        <f ca="1">VLOOKUP($J14,RawData!$A$2:$AE$38,MATCH(Dashboard!P$12,RawData!$A$2:$AE$2,0),0)</f>
        <v>118</v>
      </c>
      <c r="Q14">
        <f ca="1">VLOOKUP($J14,RawData!$A$2:$AE$38,MATCH(Dashboard!Q$12,RawData!$A$2:$AE$2,0),0)</f>
        <v>185</v>
      </c>
      <c r="R14" s="16">
        <f t="shared" ref="R14:R22" ca="1" si="3">SUM(K14:Q14)</f>
        <v>2486</v>
      </c>
    </row>
    <row r="15" spans="1:26" x14ac:dyDescent="0.3">
      <c r="A15" s="7" t="s">
        <v>32</v>
      </c>
      <c r="B15" s="7">
        <f ca="1">OFFSET(RawData!$A$1,1,COLUMN(A1)+$C$1)</f>
        <v>2001</v>
      </c>
      <c r="C15" s="7">
        <f ca="1">OFFSET(RawData!$A$1,1,COLUMN(B1)+$C$1)</f>
        <v>2002</v>
      </c>
      <c r="D15" s="7">
        <f ca="1">OFFSET(RawData!$A$1,1,COLUMN(C1)+$C$1)</f>
        <v>2003</v>
      </c>
      <c r="E15" s="7">
        <f ca="1">OFFSET(RawData!$A$1,1,COLUMN(D1)+$C$1)</f>
        <v>2004</v>
      </c>
      <c r="F15" s="7">
        <f ca="1">OFFSET(RawData!$A$1,1,COLUMN(E1)+$C$1)</f>
        <v>2005</v>
      </c>
      <c r="G15" s="7">
        <f ca="1">OFFSET(RawData!$A$1,1,COLUMN(F1)+$C$1)</f>
        <v>2006</v>
      </c>
      <c r="H15" s="7">
        <f ca="1">OFFSET(RawData!$A$1,1,COLUMN(G1)+$C$1)</f>
        <v>2007</v>
      </c>
      <c r="I15" s="14"/>
      <c r="J15" t="str">
        <f ca="1"/>
        <v>SARTHAK BHAGU</v>
      </c>
      <c r="K15">
        <f ca="1">VLOOKUP($J15,RawData!$A$2:$AE$38,MATCH(Dashboard!K$12,RawData!$A$2:$AE$2,0),0)</f>
        <v>101</v>
      </c>
      <c r="L15">
        <f ca="1">VLOOKUP($J15,RawData!$A$2:$AE$38,MATCH(Dashboard!L$12,RawData!$A$2:$AE$2,0),0)</f>
        <v>507</v>
      </c>
      <c r="M15">
        <f ca="1">VLOOKUP($J15,RawData!$A$2:$AE$38,MATCH(Dashboard!M$12,RawData!$A$2:$AE$2,0),0)</f>
        <v>110</v>
      </c>
      <c r="N15">
        <f ca="1">VLOOKUP($J15,RawData!$A$2:$AE$38,MATCH(Dashboard!N$12,RawData!$A$2:$AE$2,0),0)</f>
        <v>802</v>
      </c>
      <c r="O15">
        <f ca="1">VLOOKUP($J15,RawData!$A$2:$AE$38,MATCH(Dashboard!O$12,RawData!$A$2:$AE$2,0),0)</f>
        <v>217</v>
      </c>
      <c r="P15">
        <f ca="1">VLOOKUP($J15,RawData!$A$2:$AE$38,MATCH(Dashboard!P$12,RawData!$A$2:$AE$2,0),0)</f>
        <v>169</v>
      </c>
      <c r="Q15">
        <f ca="1">VLOOKUP($J15,RawData!$A$2:$AE$38,MATCH(Dashboard!Q$12,RawData!$A$2:$AE$2,0),0)</f>
        <v>468</v>
      </c>
      <c r="R15" s="16">
        <f t="shared" ca="1" si="3"/>
        <v>2374</v>
      </c>
    </row>
    <row r="16" spans="1:26" x14ac:dyDescent="0.3">
      <c r="A16" s="7" t="str">
        <f ca="1">CHOOSE($A$1,OFFSET(RawData!$A$2,$B$1,0),OFFSET(RawData!$A$15,$B$1,0),OFFSET(RawData!$A$28,$B$1,0))</f>
        <v>SARTHAK BHAGU</v>
      </c>
      <c r="B16" s="7">
        <f ca="1">VLOOKUP($A$16,RawData!$A$3:$AE$38,MATCH(Dashboard!B$15,RawData!$A$2:$AE$2,0),0)</f>
        <v>101</v>
      </c>
      <c r="C16" s="7">
        <f ca="1">VLOOKUP($A$16,RawData!$A$3:$AE$38,MATCH(Dashboard!C$15,RawData!$A$2:$AE$2,0),0)</f>
        <v>507</v>
      </c>
      <c r="D16" s="7">
        <f ca="1">VLOOKUP($A$16,RawData!$A$3:$AE$38,MATCH(Dashboard!D$15,RawData!$A$2:$AE$2,0),0)</f>
        <v>110</v>
      </c>
      <c r="E16" s="7">
        <f ca="1">VLOOKUP($A$16,RawData!$A$3:$AE$38,MATCH(Dashboard!E$15,RawData!$A$2:$AE$2,0),0)</f>
        <v>802</v>
      </c>
      <c r="F16" s="7">
        <f ca="1">VLOOKUP($A$16,RawData!$A$3:$AE$38,MATCH(Dashboard!F$15,RawData!$A$2:$AE$2,0),0)</f>
        <v>217</v>
      </c>
      <c r="G16" s="7">
        <f ca="1">VLOOKUP($A$16,RawData!$A$3:$AE$38,MATCH(Dashboard!G$15,RawData!$A$2:$AE$2,0),0)</f>
        <v>169</v>
      </c>
      <c r="H16" s="7">
        <f ca="1">VLOOKUP($A$16,RawData!$A$3:$AE$38,MATCH(Dashboard!H$15,RawData!$A$2:$AE$2,0),0)</f>
        <v>468</v>
      </c>
      <c r="I16" s="14"/>
      <c r="J16" t="str">
        <f ca="1"/>
        <v>GOPALA KRISHNA</v>
      </c>
      <c r="K16">
        <f ca="1">VLOOKUP($J16,RawData!$A$2:$AE$38,MATCH(Dashboard!K$12,RawData!$A$2:$AE$2,0),0)</f>
        <v>766</v>
      </c>
      <c r="L16">
        <f ca="1">VLOOKUP($J16,RawData!$A$2:$AE$38,MATCH(Dashboard!L$12,RawData!$A$2:$AE$2,0),0)</f>
        <v>472</v>
      </c>
      <c r="M16">
        <f ca="1">VLOOKUP($J16,RawData!$A$2:$AE$38,MATCH(Dashboard!M$12,RawData!$A$2:$AE$2,0),0)</f>
        <v>710</v>
      </c>
      <c r="N16">
        <f ca="1">VLOOKUP($J16,RawData!$A$2:$AE$38,MATCH(Dashboard!N$12,RawData!$A$2:$AE$2,0),0)</f>
        <v>54</v>
      </c>
      <c r="O16">
        <f ca="1">VLOOKUP($J16,RawData!$A$2:$AE$38,MATCH(Dashboard!O$12,RawData!$A$2:$AE$2,0),0)</f>
        <v>858</v>
      </c>
      <c r="P16">
        <f ca="1">VLOOKUP($J16,RawData!$A$2:$AE$38,MATCH(Dashboard!P$12,RawData!$A$2:$AE$2,0),0)</f>
        <v>330</v>
      </c>
      <c r="Q16">
        <f ca="1">VLOOKUP($J16,RawData!$A$2:$AE$38,MATCH(Dashboard!Q$12,RawData!$A$2:$AE$2,0),0)</f>
        <v>568</v>
      </c>
      <c r="R16" s="16">
        <f t="shared" ca="1" si="3"/>
        <v>3758</v>
      </c>
    </row>
    <row r="17" spans="1:19" x14ac:dyDescent="0.3">
      <c r="A17" s="7" t="s">
        <v>8</v>
      </c>
      <c r="B17" s="7">
        <f t="shared" ref="B17:H17" ca="1" si="4">B16+RANDBETWEEN(1,20)</f>
        <v>103</v>
      </c>
      <c r="C17" s="7">
        <f t="shared" ca="1" si="4"/>
        <v>513</v>
      </c>
      <c r="D17" s="7">
        <f t="shared" ca="1" si="4"/>
        <v>113</v>
      </c>
      <c r="E17" s="7">
        <f t="shared" ca="1" si="4"/>
        <v>805</v>
      </c>
      <c r="F17" s="7">
        <f t="shared" ca="1" si="4"/>
        <v>218</v>
      </c>
      <c r="G17" s="7">
        <f t="shared" ca="1" si="4"/>
        <v>171</v>
      </c>
      <c r="H17" s="7">
        <f t="shared" ca="1" si="4"/>
        <v>478</v>
      </c>
      <c r="I17" s="14"/>
      <c r="J17" t="str">
        <f ca="1"/>
        <v>PURAN SINGH</v>
      </c>
      <c r="K17">
        <f ca="1">VLOOKUP($J17,RawData!$A$2:$AE$38,MATCH(Dashboard!K$12,RawData!$A$2:$AE$2,0),0)</f>
        <v>443</v>
      </c>
      <c r="L17">
        <f ca="1">VLOOKUP($J17,RawData!$A$2:$AE$38,MATCH(Dashboard!L$12,RawData!$A$2:$AE$2,0),0)</f>
        <v>434</v>
      </c>
      <c r="M17">
        <f ca="1">VLOOKUP($J17,RawData!$A$2:$AE$38,MATCH(Dashboard!M$12,RawData!$A$2:$AE$2,0),0)</f>
        <v>776</v>
      </c>
      <c r="N17">
        <f ca="1">VLOOKUP($J17,RawData!$A$2:$AE$38,MATCH(Dashboard!N$12,RawData!$A$2:$AE$2,0),0)</f>
        <v>9</v>
      </c>
      <c r="O17">
        <f ca="1">VLOOKUP($J17,RawData!$A$2:$AE$38,MATCH(Dashboard!O$12,RawData!$A$2:$AE$2,0),0)</f>
        <v>408</v>
      </c>
      <c r="P17">
        <f ca="1">VLOOKUP($J17,RawData!$A$2:$AE$38,MATCH(Dashboard!P$12,RawData!$A$2:$AE$2,0),0)</f>
        <v>390</v>
      </c>
      <c r="Q17">
        <f ca="1">VLOOKUP($J17,RawData!$A$2:$AE$38,MATCH(Dashboard!Q$12,RawData!$A$2:$AE$2,0),0)</f>
        <v>384</v>
      </c>
      <c r="R17" s="16">
        <f t="shared" ca="1" si="3"/>
        <v>2844</v>
      </c>
    </row>
    <row r="18" spans="1:19" x14ac:dyDescent="0.3">
      <c r="I18" s="14"/>
      <c r="J18" t="str">
        <f ca="1"/>
        <v>ROHIT KUMAR</v>
      </c>
      <c r="K18">
        <f ca="1">VLOOKUP($J18,RawData!$A$2:$AE$38,MATCH(Dashboard!K$12,RawData!$A$2:$AE$2,0),0)</f>
        <v>961</v>
      </c>
      <c r="L18">
        <f ca="1">VLOOKUP($J18,RawData!$A$2:$AE$38,MATCH(Dashboard!L$12,RawData!$A$2:$AE$2,0),0)</f>
        <v>35</v>
      </c>
      <c r="M18">
        <f ca="1">VLOOKUP($J18,RawData!$A$2:$AE$38,MATCH(Dashboard!M$12,RawData!$A$2:$AE$2,0),0)</f>
        <v>550</v>
      </c>
      <c r="N18">
        <f ca="1">VLOOKUP($J18,RawData!$A$2:$AE$38,MATCH(Dashboard!N$12,RawData!$A$2:$AE$2,0),0)</f>
        <v>647</v>
      </c>
      <c r="O18">
        <f ca="1">VLOOKUP($J18,RawData!$A$2:$AE$38,MATCH(Dashboard!O$12,RawData!$A$2:$AE$2,0),0)</f>
        <v>545</v>
      </c>
      <c r="P18">
        <f ca="1">VLOOKUP($J18,RawData!$A$2:$AE$38,MATCH(Dashboard!P$12,RawData!$A$2:$AE$2,0),0)</f>
        <v>181</v>
      </c>
      <c r="Q18">
        <f ca="1">VLOOKUP($J18,RawData!$A$2:$AE$38,MATCH(Dashboard!Q$12,RawData!$A$2:$AE$2,0),0)</f>
        <v>529</v>
      </c>
      <c r="R18" s="16">
        <f t="shared" ca="1" si="3"/>
        <v>3448</v>
      </c>
    </row>
    <row r="19" spans="1:19" ht="15" thickBot="1" x14ac:dyDescent="0.35">
      <c r="A19" s="6" t="s">
        <v>4</v>
      </c>
      <c r="B19" s="6">
        <f t="shared" ref="B19:H19" ca="1" si="5">B15</f>
        <v>2001</v>
      </c>
      <c r="C19" s="6">
        <f t="shared" ca="1" si="5"/>
        <v>2002</v>
      </c>
      <c r="D19" s="6">
        <f t="shared" ca="1" si="5"/>
        <v>2003</v>
      </c>
      <c r="E19" s="6">
        <f t="shared" ca="1" si="5"/>
        <v>2004</v>
      </c>
      <c r="F19" s="6">
        <f t="shared" ca="1" si="5"/>
        <v>2005</v>
      </c>
      <c r="G19" s="6">
        <f t="shared" ca="1" si="5"/>
        <v>2006</v>
      </c>
      <c r="H19" s="6">
        <f t="shared" ca="1" si="5"/>
        <v>2007</v>
      </c>
      <c r="I19" s="14"/>
      <c r="J19" t="str">
        <f ca="1"/>
        <v>VENKAT REDDY</v>
      </c>
      <c r="K19">
        <f ca="1">VLOOKUP($J19,RawData!$A$2:$AE$38,MATCH(Dashboard!K$12,RawData!$A$2:$AE$2,0),0)</f>
        <v>461</v>
      </c>
      <c r="L19">
        <f ca="1">VLOOKUP($J19,RawData!$A$2:$AE$38,MATCH(Dashboard!L$12,RawData!$A$2:$AE$2,0),0)</f>
        <v>628</v>
      </c>
      <c r="M19">
        <f ca="1">VLOOKUP($J19,RawData!$A$2:$AE$38,MATCH(Dashboard!M$12,RawData!$A$2:$AE$2,0),0)</f>
        <v>741</v>
      </c>
      <c r="N19">
        <f ca="1">VLOOKUP($J19,RawData!$A$2:$AE$38,MATCH(Dashboard!N$12,RawData!$A$2:$AE$2,0),0)</f>
        <v>550</v>
      </c>
      <c r="O19">
        <f ca="1">VLOOKUP($J19,RawData!$A$2:$AE$38,MATCH(Dashboard!O$12,RawData!$A$2:$AE$2,0),0)</f>
        <v>181</v>
      </c>
      <c r="P19">
        <f ca="1">VLOOKUP($J19,RawData!$A$2:$AE$38,MATCH(Dashboard!P$12,RawData!$A$2:$AE$2,0),0)</f>
        <v>876</v>
      </c>
      <c r="Q19">
        <f ca="1">VLOOKUP($J19,RawData!$A$2:$AE$38,MATCH(Dashboard!Q$12,RawData!$A$2:$AE$2,0),0)</f>
        <v>950</v>
      </c>
      <c r="R19" s="16">
        <f t="shared" ca="1" si="3"/>
        <v>4387</v>
      </c>
    </row>
    <row r="20" spans="1:19" ht="15.6" thickTop="1" thickBot="1" x14ac:dyDescent="0.35">
      <c r="A20" s="8" t="s">
        <v>0</v>
      </c>
      <c r="B20" s="6">
        <f t="shared" ref="B20:H22" ca="1" si="6">SUMPRODUCT((Year=B$19)*INDIRECT(($A20&amp;"_"&amp;"Data")))</f>
        <v>5300</v>
      </c>
      <c r="C20" s="6">
        <f t="shared" ca="1" si="6"/>
        <v>4831</v>
      </c>
      <c r="D20" s="6">
        <f t="shared" ca="1" si="6"/>
        <v>4166</v>
      </c>
      <c r="E20" s="6">
        <f t="shared" ca="1" si="6"/>
        <v>4023</v>
      </c>
      <c r="F20" s="6">
        <f t="shared" ca="1" si="6"/>
        <v>4988</v>
      </c>
      <c r="G20" s="6">
        <f t="shared" ca="1" si="6"/>
        <v>5734</v>
      </c>
      <c r="H20" s="6">
        <f t="shared" ca="1" si="6"/>
        <v>5980</v>
      </c>
      <c r="I20" s="15">
        <f ca="1">SUM(B20:H20)</f>
        <v>35022</v>
      </c>
      <c r="J20" t="str">
        <f ca="1"/>
        <v>MANJEET ANAND</v>
      </c>
      <c r="K20">
        <f ca="1">VLOOKUP($J20,RawData!$A$2:$AE$38,MATCH(Dashboard!K$12,RawData!$A$2:$AE$2,0),0)</f>
        <v>337</v>
      </c>
      <c r="L20">
        <f ca="1">VLOOKUP($J20,RawData!$A$2:$AE$38,MATCH(Dashboard!L$12,RawData!$A$2:$AE$2,0),0)</f>
        <v>599</v>
      </c>
      <c r="M20">
        <f ca="1">VLOOKUP($J20,RawData!$A$2:$AE$38,MATCH(Dashboard!M$12,RawData!$A$2:$AE$2,0),0)</f>
        <v>34</v>
      </c>
      <c r="N20">
        <f ca="1">VLOOKUP($J20,RawData!$A$2:$AE$38,MATCH(Dashboard!N$12,RawData!$A$2:$AE$2,0),0)</f>
        <v>535</v>
      </c>
      <c r="O20">
        <f ca="1">VLOOKUP($J20,RawData!$A$2:$AE$38,MATCH(Dashboard!O$12,RawData!$A$2:$AE$2,0),0)</f>
        <v>51</v>
      </c>
      <c r="P20">
        <f ca="1">VLOOKUP($J20,RawData!$A$2:$AE$38,MATCH(Dashboard!P$12,RawData!$A$2:$AE$2,0),0)</f>
        <v>884</v>
      </c>
      <c r="Q20">
        <f ca="1">VLOOKUP($J20,RawData!$A$2:$AE$38,MATCH(Dashboard!Q$12,RawData!$A$2:$AE$2,0),0)</f>
        <v>494</v>
      </c>
      <c r="R20" s="16">
        <f t="shared" ca="1" si="3"/>
        <v>2934</v>
      </c>
    </row>
    <row r="21" spans="1:19" ht="15.6" thickTop="1" thickBot="1" x14ac:dyDescent="0.35">
      <c r="A21" s="8" t="s">
        <v>2</v>
      </c>
      <c r="B21" s="6">
        <f t="shared" ca="1" si="6"/>
        <v>6001</v>
      </c>
      <c r="C21" s="6">
        <f t="shared" ca="1" si="6"/>
        <v>4792</v>
      </c>
      <c r="D21" s="6">
        <f t="shared" ca="1" si="6"/>
        <v>4853</v>
      </c>
      <c r="E21" s="6">
        <f t="shared" ca="1" si="6"/>
        <v>5079</v>
      </c>
      <c r="F21" s="6">
        <f t="shared" ca="1" si="6"/>
        <v>4540</v>
      </c>
      <c r="G21" s="6">
        <f t="shared" ca="1" si="6"/>
        <v>5735</v>
      </c>
      <c r="H21" s="6">
        <f t="shared" ca="1" si="6"/>
        <v>4647</v>
      </c>
      <c r="I21" s="15">
        <f ca="1">SUM(B21:H21)</f>
        <v>35647</v>
      </c>
      <c r="J21" t="str">
        <f ca="1"/>
        <v>VICKY SINGH</v>
      </c>
      <c r="K21">
        <f ca="1">VLOOKUP($J21,RawData!$A$2:$AE$38,MATCH(Dashboard!K$12,RawData!$A$2:$AE$2,0),0)</f>
        <v>998</v>
      </c>
      <c r="L21">
        <f ca="1">VLOOKUP($J21,RawData!$A$2:$AE$38,MATCH(Dashboard!L$12,RawData!$A$2:$AE$2,0),0)</f>
        <v>134</v>
      </c>
      <c r="M21">
        <f ca="1">VLOOKUP($J21,RawData!$A$2:$AE$38,MATCH(Dashboard!M$12,RawData!$A$2:$AE$2,0),0)</f>
        <v>497</v>
      </c>
      <c r="N21">
        <f ca="1">VLOOKUP($J21,RawData!$A$2:$AE$38,MATCH(Dashboard!N$12,RawData!$A$2:$AE$2,0),0)</f>
        <v>356</v>
      </c>
      <c r="O21">
        <f ca="1">VLOOKUP($J21,RawData!$A$2:$AE$38,MATCH(Dashboard!O$12,RawData!$A$2:$AE$2,0),0)</f>
        <v>654</v>
      </c>
      <c r="P21">
        <f ca="1">VLOOKUP($J21,RawData!$A$2:$AE$38,MATCH(Dashboard!P$12,RawData!$A$2:$AE$2,0),0)</f>
        <v>276</v>
      </c>
      <c r="Q21">
        <f ca="1">VLOOKUP($J21,RawData!$A$2:$AE$38,MATCH(Dashboard!Q$12,RawData!$A$2:$AE$2,0),0)</f>
        <v>567</v>
      </c>
      <c r="R21" s="16">
        <f t="shared" ca="1" si="3"/>
        <v>3482</v>
      </c>
    </row>
    <row r="22" spans="1:19" ht="15.6" thickTop="1" thickBot="1" x14ac:dyDescent="0.35">
      <c r="A22" s="8" t="s">
        <v>3</v>
      </c>
      <c r="B22" s="6">
        <f t="shared" ca="1" si="6"/>
        <v>4880</v>
      </c>
      <c r="C22" s="6">
        <f t="shared" ca="1" si="6"/>
        <v>5397</v>
      </c>
      <c r="D22" s="6">
        <f t="shared" ca="1" si="6"/>
        <v>5099</v>
      </c>
      <c r="E22" s="6">
        <f t="shared" ca="1" si="6"/>
        <v>4568</v>
      </c>
      <c r="F22" s="6">
        <f t="shared" ca="1" si="6"/>
        <v>3556</v>
      </c>
      <c r="G22" s="6">
        <f t="shared" ca="1" si="6"/>
        <v>3978</v>
      </c>
      <c r="H22" s="6">
        <f t="shared" ca="1" si="6"/>
        <v>4674</v>
      </c>
      <c r="I22" s="15">
        <f ca="1">SUM(B22:H22)</f>
        <v>32152</v>
      </c>
      <c r="J22" t="str">
        <f ca="1"/>
        <v>TEJPAL SAIN</v>
      </c>
      <c r="K22">
        <f ca="1">VLOOKUP($J22,RawData!$A$2:$AE$38,MATCH(Dashboard!K$12,RawData!$A$2:$AE$2,0),0)</f>
        <v>82</v>
      </c>
      <c r="L22">
        <f ca="1">VLOOKUP($J22,RawData!$A$2:$AE$38,MATCH(Dashboard!L$12,RawData!$A$2:$AE$2,0),0)</f>
        <v>930</v>
      </c>
      <c r="M22">
        <f ca="1">VLOOKUP($J22,RawData!$A$2:$AE$38,MATCH(Dashboard!M$12,RawData!$A$2:$AE$2,0),0)</f>
        <v>681</v>
      </c>
      <c r="N22">
        <f ca="1">VLOOKUP($J22,RawData!$A$2:$AE$38,MATCH(Dashboard!N$12,RawData!$A$2:$AE$2,0),0)</f>
        <v>547</v>
      </c>
      <c r="O22">
        <f ca="1">VLOOKUP($J22,RawData!$A$2:$AE$38,MATCH(Dashboard!O$12,RawData!$A$2:$AE$2,0),0)</f>
        <v>411</v>
      </c>
      <c r="P22">
        <f ca="1">VLOOKUP($J22,RawData!$A$2:$AE$38,MATCH(Dashboard!P$12,RawData!$A$2:$AE$2,0),0)</f>
        <v>268</v>
      </c>
      <c r="Q22">
        <f ca="1">VLOOKUP($J22,RawData!$A$2:$AE$38,MATCH(Dashboard!Q$12,RawData!$A$2:$AE$2,0),0)</f>
        <v>133</v>
      </c>
      <c r="R22" s="16">
        <f t="shared" ca="1" si="3"/>
        <v>3052</v>
      </c>
    </row>
    <row r="23" spans="1:19" ht="15.6" thickTop="1" thickBot="1" x14ac:dyDescent="0.35">
      <c r="A23" s="9" t="s">
        <v>9</v>
      </c>
      <c r="B23" s="10">
        <f t="shared" ref="B23:H23" ca="1" si="7">SUM(B19:B22)</f>
        <v>18182</v>
      </c>
      <c r="C23" s="10">
        <f t="shared" ca="1" si="7"/>
        <v>17022</v>
      </c>
      <c r="D23" s="10">
        <f t="shared" ca="1" si="7"/>
        <v>16121</v>
      </c>
      <c r="E23" s="6">
        <f t="shared" ca="1" si="7"/>
        <v>15674</v>
      </c>
      <c r="F23" s="6">
        <f t="shared" ca="1" si="7"/>
        <v>15089</v>
      </c>
      <c r="G23" s="6">
        <f t="shared" ca="1" si="7"/>
        <v>17453</v>
      </c>
      <c r="H23" s="6">
        <f t="shared" ca="1" si="7"/>
        <v>17308</v>
      </c>
      <c r="I23" s="14"/>
      <c r="R23" s="16"/>
      <c r="S23" s="17" t="str">
        <f ca="1">"Departmentwise Report from "&amp;B19 &amp;" to "&amp;H19</f>
        <v>Departmentwise Report from 2001 to 2007</v>
      </c>
    </row>
    <row r="24" spans="1:19" ht="15" thickTop="1" x14ac:dyDescent="0.3">
      <c r="F24" s="1"/>
      <c r="I24" s="14"/>
      <c r="R24" s="16"/>
    </row>
    <row r="25" spans="1:19" x14ac:dyDescent="0.3">
      <c r="A25" s="13" t="s">
        <v>4</v>
      </c>
      <c r="B25" s="12" t="str">
        <f>A20</f>
        <v>Finance</v>
      </c>
      <c r="C25" s="12" t="str">
        <f>A21</f>
        <v>Operation</v>
      </c>
      <c r="D25" s="12" t="str">
        <f>A22</f>
        <v>HR</v>
      </c>
      <c r="E25" s="1" t="s">
        <v>6</v>
      </c>
      <c r="F25" s="1" t="s">
        <v>7</v>
      </c>
      <c r="H25">
        <v>3</v>
      </c>
      <c r="I25" s="14"/>
      <c r="R25" s="16"/>
    </row>
    <row r="26" spans="1:19" x14ac:dyDescent="0.3">
      <c r="A26" s="11">
        <f t="array" aca="1" ref="A26:A32" ca="1">TRANSPOSE(B19:H19)</f>
        <v>2001</v>
      </c>
      <c r="B26" s="5">
        <f t="shared" ref="B26:D32" ca="1" si="8">SUMPRODUCT(($B$19:$H$19=$A26)*($A$20:$A$22=B$25)*($B$20:$H$22))</f>
        <v>5300</v>
      </c>
      <c r="C26" s="5">
        <f t="shared" ca="1" si="8"/>
        <v>6001</v>
      </c>
      <c r="D26" s="5">
        <f t="shared" ca="1" si="8"/>
        <v>4880</v>
      </c>
      <c r="F26">
        <f ca="1">AVERAGE(B26:D26)</f>
        <v>5393.666666666667</v>
      </c>
      <c r="I26" s="14"/>
      <c r="R26" s="16"/>
    </row>
    <row r="27" spans="1:19" x14ac:dyDescent="0.3">
      <c r="A27" s="11">
        <f ca="1"/>
        <v>2002</v>
      </c>
      <c r="B27" s="5">
        <f t="shared" ca="1" si="8"/>
        <v>4831</v>
      </c>
      <c r="C27" s="5">
        <f t="shared" ca="1" si="8"/>
        <v>4792</v>
      </c>
      <c r="D27" s="5">
        <f t="shared" ca="1" si="8"/>
        <v>5397</v>
      </c>
      <c r="F27">
        <f t="shared" ref="F27:F32" ca="1" si="9">AVERAGE(B27:D27)</f>
        <v>5006.666666666667</v>
      </c>
      <c r="I27" s="14"/>
      <c r="R27" s="16"/>
    </row>
    <row r="28" spans="1:19" x14ac:dyDescent="0.3">
      <c r="A28" s="11">
        <f ca="1"/>
        <v>2003</v>
      </c>
      <c r="B28" s="5">
        <f t="shared" ca="1" si="8"/>
        <v>4166</v>
      </c>
      <c r="C28" s="5">
        <f t="shared" ca="1" si="8"/>
        <v>4853</v>
      </c>
      <c r="D28" s="5">
        <f t="shared" ca="1" si="8"/>
        <v>5099</v>
      </c>
      <c r="F28">
        <f t="shared" ca="1" si="9"/>
        <v>4706</v>
      </c>
      <c r="I28" s="14"/>
      <c r="R28" s="16"/>
    </row>
    <row r="29" spans="1:19" x14ac:dyDescent="0.3">
      <c r="A29" s="11">
        <f ca="1"/>
        <v>2004</v>
      </c>
      <c r="B29" s="5">
        <f t="shared" ca="1" si="8"/>
        <v>4023</v>
      </c>
      <c r="C29" s="5">
        <f t="shared" ca="1" si="8"/>
        <v>5079</v>
      </c>
      <c r="D29" s="5">
        <f t="shared" ca="1" si="8"/>
        <v>4568</v>
      </c>
      <c r="F29">
        <f t="shared" ca="1" si="9"/>
        <v>4556.666666666667</v>
      </c>
      <c r="I29" s="14"/>
      <c r="R29" s="16"/>
    </row>
    <row r="30" spans="1:19" x14ac:dyDescent="0.3">
      <c r="A30" s="11">
        <f ca="1"/>
        <v>2005</v>
      </c>
      <c r="B30" s="5">
        <f t="shared" ca="1" si="8"/>
        <v>4988</v>
      </c>
      <c r="C30" s="5">
        <f t="shared" ca="1" si="8"/>
        <v>4540</v>
      </c>
      <c r="D30" s="5">
        <f t="shared" ca="1" si="8"/>
        <v>3556</v>
      </c>
      <c r="F30">
        <f t="shared" ca="1" si="9"/>
        <v>4361.333333333333</v>
      </c>
      <c r="I30" s="14"/>
      <c r="R30" s="16"/>
    </row>
    <row r="31" spans="1:19" x14ac:dyDescent="0.3">
      <c r="A31" s="11">
        <f ca="1"/>
        <v>2006</v>
      </c>
      <c r="B31" s="5">
        <f t="shared" ca="1" si="8"/>
        <v>5734</v>
      </c>
      <c r="C31" s="5">
        <f t="shared" ca="1" si="8"/>
        <v>5735</v>
      </c>
      <c r="D31" s="5">
        <f t="shared" ca="1" si="8"/>
        <v>3978</v>
      </c>
      <c r="F31">
        <f t="shared" ca="1" si="9"/>
        <v>5149</v>
      </c>
      <c r="I31" s="14"/>
      <c r="R31" s="16"/>
    </row>
    <row r="32" spans="1:19" x14ac:dyDescent="0.3">
      <c r="A32" s="11">
        <f ca="1"/>
        <v>2007</v>
      </c>
      <c r="B32" s="5">
        <f t="shared" ca="1" si="8"/>
        <v>5980</v>
      </c>
      <c r="C32" s="5">
        <f t="shared" ca="1" si="8"/>
        <v>4647</v>
      </c>
      <c r="D32" s="5">
        <f t="shared" ca="1" si="8"/>
        <v>4674</v>
      </c>
      <c r="F32">
        <f t="shared" ca="1" si="9"/>
        <v>5100.333333333333</v>
      </c>
      <c r="I32" s="14"/>
      <c r="R32" s="16"/>
    </row>
    <row r="33" spans="1:18" x14ac:dyDescent="0.3">
      <c r="I33" s="14"/>
      <c r="R33" s="16"/>
    </row>
    <row r="34" spans="1:18" x14ac:dyDescent="0.3">
      <c r="I34" s="14"/>
      <c r="R34" s="16"/>
    </row>
    <row r="35" spans="1:18" x14ac:dyDescent="0.3">
      <c r="I35" s="14"/>
      <c r="R35" s="16"/>
    </row>
    <row r="36" spans="1:18" x14ac:dyDescent="0.3">
      <c r="I36" s="14"/>
      <c r="R36" s="16"/>
    </row>
    <row r="37" spans="1:18" x14ac:dyDescent="0.3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</row>
  </sheetData>
  <conditionalFormatting sqref="F26:F32">
    <cfRule type="dataBar" priority="1">
      <dataBar showValue="0">
        <cfvo type="min"/>
        <cfvo type="max"/>
        <color rgb="FF00B0F0"/>
      </dataBar>
      <extLst>
        <ext xmlns:x14="http://schemas.microsoft.com/office/spreadsheetml/2009/9/main" uri="{B025F937-C7B1-47D3-B67F-A62EFF666E3E}">
          <x14:id>{AF9500AC-B68E-4452-9FB4-B05FDE797BF2}</x14:id>
        </ext>
      </extLst>
    </cfRule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{2856D569-6CDA-4CB1-B439-05BA71C52029}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Option Button 1">
              <controlPr defaultSize="0" autoFill="0" autoLine="0" autoPict="0">
                <anchor moveWithCells="1">
                  <from>
                    <xdr:col>9</xdr:col>
                    <xdr:colOff>259080</xdr:colOff>
                    <xdr:row>1</xdr:row>
                    <xdr:rowOff>45720</xdr:rowOff>
                  </from>
                  <to>
                    <xdr:col>10</xdr:col>
                    <xdr:colOff>228600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Option Button 2">
              <controlPr defaultSize="0" autoFill="0" autoLine="0" autoPict="0">
                <anchor moveWithCells="1">
                  <from>
                    <xdr:col>11</xdr:col>
                    <xdr:colOff>144780</xdr:colOff>
                    <xdr:row>1</xdr:row>
                    <xdr:rowOff>38100</xdr:rowOff>
                  </from>
                  <to>
                    <xdr:col>12</xdr:col>
                    <xdr:colOff>502920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Option Button 3">
              <controlPr defaultSize="0" autoFill="0" autoLine="0" autoPict="0">
                <anchor moveWithCells="1">
                  <from>
                    <xdr:col>13</xdr:col>
                    <xdr:colOff>76200</xdr:colOff>
                    <xdr:row>1</xdr:row>
                    <xdr:rowOff>38100</xdr:rowOff>
                  </from>
                  <to>
                    <xdr:col>14</xdr:col>
                    <xdr:colOff>441960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Drop Down 4">
              <controlPr defaultSize="0" autoLine="0" autoPict="0">
                <anchor moveWithCells="1">
                  <from>
                    <xdr:col>11</xdr:col>
                    <xdr:colOff>274320</xdr:colOff>
                    <xdr:row>4</xdr:row>
                    <xdr:rowOff>144780</xdr:rowOff>
                  </from>
                  <to>
                    <xdr:col>14</xdr:col>
                    <xdr:colOff>464820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Scroll Bar 5">
              <controlPr defaultSize="0" autoPict="0">
                <anchor moveWithCells="1">
                  <from>
                    <xdr:col>0</xdr:col>
                    <xdr:colOff>259080</xdr:colOff>
                    <xdr:row>12</xdr:row>
                    <xdr:rowOff>106680</xdr:rowOff>
                  </from>
                  <to>
                    <xdr:col>7</xdr:col>
                    <xdr:colOff>381000</xdr:colOff>
                    <xdr:row>13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List Box 6">
              <controlPr defaultSize="0" autoLine="0" autoPict="0">
                <anchor moveWithCells="1">
                  <from>
                    <xdr:col>6</xdr:col>
                    <xdr:colOff>22860</xdr:colOff>
                    <xdr:row>25</xdr:row>
                    <xdr:rowOff>7620</xdr:rowOff>
                  </from>
                  <to>
                    <xdr:col>7</xdr:col>
                    <xdr:colOff>487680</xdr:colOff>
                    <xdr:row>31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9500AC-B68E-4452-9FB4-B05FDE797B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856D569-6CDA-4CB1-B439-05BA71C520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F26:F32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5"/>
          <x14:colorNegative theme="6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Dashboard!B26:D26</xm:f>
              <xm:sqref>E26</xm:sqref>
            </x14:sparkline>
            <x14:sparkline>
              <xm:f>Dashboard!B27:D27</xm:f>
              <xm:sqref>E27</xm:sqref>
            </x14:sparkline>
            <x14:sparkline>
              <xm:f>Dashboard!B28:D28</xm:f>
              <xm:sqref>E28</xm:sqref>
            </x14:sparkline>
            <x14:sparkline>
              <xm:f>Dashboard!B29:D29</xm:f>
              <xm:sqref>E29</xm:sqref>
            </x14:sparkline>
            <x14:sparkline>
              <xm:f>Dashboard!B30:D30</xm:f>
              <xm:sqref>E30</xm:sqref>
            </x14:sparkline>
            <x14:sparkline>
              <xm:f>Dashboard!B31:D31</xm:f>
              <xm:sqref>E31</xm:sqref>
            </x14:sparkline>
            <x14:sparkline>
              <xm:f>Dashboard!B32:D32</xm:f>
              <xm:sqref>E32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38"/>
  <sheetViews>
    <sheetView workbookViewId="0">
      <selection activeCell="A3" sqref="A3"/>
    </sheetView>
  </sheetViews>
  <sheetFormatPr defaultRowHeight="14.4" x14ac:dyDescent="0.3"/>
  <cols>
    <col min="1" max="1" width="29.44140625" bestFit="1" customWidth="1"/>
    <col min="2" max="2" width="6.109375" customWidth="1"/>
    <col min="3" max="3" width="11.33203125" customWidth="1"/>
  </cols>
  <sheetData>
    <row r="1" spans="1:31" x14ac:dyDescent="0.3">
      <c r="A1" t="s">
        <v>0</v>
      </c>
    </row>
    <row r="2" spans="1:31" x14ac:dyDescent="0.3">
      <c r="A2" t="s">
        <v>1</v>
      </c>
      <c r="B2">
        <v>2001</v>
      </c>
      <c r="C2">
        <v>2002</v>
      </c>
      <c r="D2">
        <v>2003</v>
      </c>
      <c r="E2">
        <v>2004</v>
      </c>
      <c r="F2">
        <v>2005</v>
      </c>
      <c r="G2">
        <v>2006</v>
      </c>
      <c r="H2">
        <v>2007</v>
      </c>
      <c r="I2">
        <v>2008</v>
      </c>
      <c r="J2">
        <v>2009</v>
      </c>
      <c r="K2">
        <v>2010</v>
      </c>
      <c r="L2">
        <v>2011</v>
      </c>
      <c r="M2">
        <v>2012</v>
      </c>
      <c r="N2">
        <v>2013</v>
      </c>
      <c r="O2">
        <v>2014</v>
      </c>
      <c r="P2">
        <v>2015</v>
      </c>
      <c r="Q2">
        <v>2016</v>
      </c>
      <c r="R2">
        <v>2017</v>
      </c>
      <c r="S2">
        <v>2018</v>
      </c>
      <c r="T2">
        <v>2019</v>
      </c>
      <c r="U2">
        <v>2020</v>
      </c>
      <c r="V2">
        <v>2021</v>
      </c>
      <c r="W2">
        <v>2022</v>
      </c>
      <c r="X2">
        <v>2023</v>
      </c>
      <c r="Y2">
        <v>2024</v>
      </c>
      <c r="Z2">
        <v>2025</v>
      </c>
      <c r="AA2">
        <v>2026</v>
      </c>
      <c r="AB2">
        <v>2027</v>
      </c>
      <c r="AC2">
        <v>2028</v>
      </c>
      <c r="AD2">
        <v>2029</v>
      </c>
      <c r="AE2">
        <v>2030</v>
      </c>
    </row>
    <row r="3" spans="1:31" x14ac:dyDescent="0.3">
      <c r="A3" s="5" t="s">
        <v>11</v>
      </c>
      <c r="B3" s="5">
        <f ca="1">RANDBETWEEN(1,1000)</f>
        <v>959</v>
      </c>
      <c r="C3" s="5">
        <f t="shared" ref="C3:AE12" ca="1" si="0">RANDBETWEEN(1,1000)</f>
        <v>387</v>
      </c>
      <c r="D3" s="5">
        <f t="shared" ca="1" si="0"/>
        <v>6</v>
      </c>
      <c r="E3" s="5">
        <f t="shared" ca="1" si="0"/>
        <v>270</v>
      </c>
      <c r="F3" s="5">
        <f t="shared" ca="1" si="0"/>
        <v>514</v>
      </c>
      <c r="G3" s="5">
        <f t="shared" ca="1" si="0"/>
        <v>612</v>
      </c>
      <c r="H3" s="5">
        <f t="shared" ca="1" si="0"/>
        <v>613</v>
      </c>
      <c r="I3" s="5">
        <f t="shared" ca="1" si="0"/>
        <v>78</v>
      </c>
      <c r="J3" s="5">
        <f t="shared" ca="1" si="0"/>
        <v>541</v>
      </c>
      <c r="K3" s="5">
        <f t="shared" ca="1" si="0"/>
        <v>521</v>
      </c>
      <c r="L3" s="5">
        <f t="shared" ca="1" si="0"/>
        <v>448</v>
      </c>
      <c r="M3" s="5">
        <f t="shared" ca="1" si="0"/>
        <v>66</v>
      </c>
      <c r="N3" s="5">
        <f t="shared" ca="1" si="0"/>
        <v>963</v>
      </c>
      <c r="O3" s="5">
        <f t="shared" ca="1" si="0"/>
        <v>424</v>
      </c>
      <c r="P3" s="5">
        <f t="shared" ca="1" si="0"/>
        <v>459</v>
      </c>
      <c r="Q3" s="5">
        <f t="shared" ca="1" si="0"/>
        <v>62</v>
      </c>
      <c r="R3" s="5">
        <f t="shared" ca="1" si="0"/>
        <v>276</v>
      </c>
      <c r="S3" s="5">
        <f t="shared" ca="1" si="0"/>
        <v>15</v>
      </c>
      <c r="T3" s="5">
        <f t="shared" ca="1" si="0"/>
        <v>796</v>
      </c>
      <c r="U3" s="5">
        <f t="shared" ca="1" si="0"/>
        <v>391</v>
      </c>
      <c r="V3" s="5">
        <f t="shared" ca="1" si="0"/>
        <v>225</v>
      </c>
      <c r="W3" s="5">
        <f t="shared" ca="1" si="0"/>
        <v>717</v>
      </c>
      <c r="X3" s="5">
        <f t="shared" ca="1" si="0"/>
        <v>203</v>
      </c>
      <c r="Y3" s="5">
        <f t="shared" ca="1" si="0"/>
        <v>135</v>
      </c>
      <c r="Z3" s="5">
        <f t="shared" ca="1" si="0"/>
        <v>256</v>
      </c>
      <c r="AA3" s="5">
        <f t="shared" ca="1" si="0"/>
        <v>50</v>
      </c>
      <c r="AB3" s="5">
        <f t="shared" ca="1" si="0"/>
        <v>933</v>
      </c>
      <c r="AC3" s="5">
        <f t="shared" ca="1" si="0"/>
        <v>382</v>
      </c>
      <c r="AD3" s="5">
        <f t="shared" ca="1" si="0"/>
        <v>327</v>
      </c>
      <c r="AE3" s="5">
        <f t="shared" ca="1" si="0"/>
        <v>966</v>
      </c>
    </row>
    <row r="4" spans="1:31" x14ac:dyDescent="0.3">
      <c r="A4" s="5" t="s">
        <v>12</v>
      </c>
      <c r="B4" s="5">
        <f t="shared" ref="B4:Q12" ca="1" si="1">RANDBETWEEN(1,1000)</f>
        <v>506</v>
      </c>
      <c r="C4" s="5">
        <f t="shared" ca="1" si="1"/>
        <v>479</v>
      </c>
      <c r="D4" s="5">
        <f t="shared" ca="1" si="1"/>
        <v>64</v>
      </c>
      <c r="E4" s="5">
        <f t="shared" ca="1" si="1"/>
        <v>19</v>
      </c>
      <c r="F4" s="5">
        <f t="shared" ca="1" si="1"/>
        <v>386</v>
      </c>
      <c r="G4" s="5">
        <f t="shared" ca="1" si="1"/>
        <v>857</v>
      </c>
      <c r="H4" s="5">
        <f t="shared" ca="1" si="1"/>
        <v>956</v>
      </c>
      <c r="I4" s="5">
        <f t="shared" ca="1" si="1"/>
        <v>451</v>
      </c>
      <c r="J4" s="5">
        <f t="shared" ca="1" si="1"/>
        <v>963</v>
      </c>
      <c r="K4" s="5">
        <f t="shared" ca="1" si="1"/>
        <v>717</v>
      </c>
      <c r="L4" s="5">
        <f t="shared" ca="1" si="1"/>
        <v>967</v>
      </c>
      <c r="M4" s="5">
        <f t="shared" ca="1" si="1"/>
        <v>670</v>
      </c>
      <c r="N4" s="5">
        <f t="shared" ca="1" si="1"/>
        <v>82</v>
      </c>
      <c r="O4" s="5">
        <f t="shared" ca="1" si="1"/>
        <v>773</v>
      </c>
      <c r="P4" s="5">
        <f t="shared" ca="1" si="1"/>
        <v>959</v>
      </c>
      <c r="Q4" s="5">
        <f t="shared" ca="1" si="1"/>
        <v>410</v>
      </c>
      <c r="R4" s="5">
        <f t="shared" ca="1" si="0"/>
        <v>478</v>
      </c>
      <c r="S4" s="5">
        <f t="shared" ca="1" si="0"/>
        <v>393</v>
      </c>
      <c r="T4" s="5">
        <f t="shared" ca="1" si="0"/>
        <v>136</v>
      </c>
      <c r="U4" s="5">
        <f t="shared" ca="1" si="0"/>
        <v>37</v>
      </c>
      <c r="V4" s="5">
        <f t="shared" ca="1" si="0"/>
        <v>89</v>
      </c>
      <c r="W4" s="5">
        <f t="shared" ca="1" si="0"/>
        <v>620</v>
      </c>
      <c r="X4" s="5">
        <f t="shared" ca="1" si="0"/>
        <v>218</v>
      </c>
      <c r="Y4" s="5">
        <f t="shared" ca="1" si="0"/>
        <v>321</v>
      </c>
      <c r="Z4" s="5">
        <f t="shared" ca="1" si="0"/>
        <v>821</v>
      </c>
      <c r="AA4" s="5">
        <f t="shared" ca="1" si="0"/>
        <v>607</v>
      </c>
      <c r="AB4" s="5">
        <f t="shared" ca="1" si="0"/>
        <v>443</v>
      </c>
      <c r="AC4" s="5">
        <f t="shared" ca="1" si="0"/>
        <v>771</v>
      </c>
      <c r="AD4" s="5">
        <f t="shared" ca="1" si="0"/>
        <v>451</v>
      </c>
      <c r="AE4" s="5">
        <f t="shared" ca="1" si="0"/>
        <v>16</v>
      </c>
    </row>
    <row r="5" spans="1:31" x14ac:dyDescent="0.3">
      <c r="A5" s="5" t="s">
        <v>13</v>
      </c>
      <c r="B5" s="5">
        <f t="shared" ca="1" si="1"/>
        <v>416</v>
      </c>
      <c r="C5" s="5">
        <f t="shared" ca="1" si="0"/>
        <v>420</v>
      </c>
      <c r="D5" s="5">
        <f t="shared" ca="1" si="0"/>
        <v>17</v>
      </c>
      <c r="E5" s="5">
        <f t="shared" ca="1" si="0"/>
        <v>467</v>
      </c>
      <c r="F5" s="5">
        <f t="shared" ca="1" si="0"/>
        <v>535</v>
      </c>
      <c r="G5" s="5">
        <f t="shared" ca="1" si="0"/>
        <v>481</v>
      </c>
      <c r="H5" s="5">
        <f t="shared" ca="1" si="0"/>
        <v>188</v>
      </c>
      <c r="I5" s="5">
        <f t="shared" ca="1" si="0"/>
        <v>726</v>
      </c>
      <c r="J5" s="5">
        <f t="shared" ca="1" si="0"/>
        <v>432</v>
      </c>
      <c r="K5" s="5">
        <f t="shared" ca="1" si="0"/>
        <v>198</v>
      </c>
      <c r="L5" s="5">
        <f t="shared" ca="1" si="0"/>
        <v>749</v>
      </c>
      <c r="M5" s="5">
        <f t="shared" ca="1" si="0"/>
        <v>176</v>
      </c>
      <c r="N5" s="5">
        <f t="shared" ca="1" si="0"/>
        <v>520</v>
      </c>
      <c r="O5" s="5">
        <f t="shared" ca="1" si="0"/>
        <v>115</v>
      </c>
      <c r="P5" s="5">
        <f t="shared" ca="1" si="0"/>
        <v>861</v>
      </c>
      <c r="Q5" s="5">
        <f t="shared" ca="1" si="0"/>
        <v>758</v>
      </c>
      <c r="R5" s="5">
        <f t="shared" ca="1" si="0"/>
        <v>860</v>
      </c>
      <c r="S5" s="5">
        <f t="shared" ca="1" si="0"/>
        <v>804</v>
      </c>
      <c r="T5" s="5">
        <f t="shared" ca="1" si="0"/>
        <v>980</v>
      </c>
      <c r="U5" s="5">
        <f t="shared" ca="1" si="0"/>
        <v>493</v>
      </c>
      <c r="V5" s="5">
        <f t="shared" ca="1" si="0"/>
        <v>946</v>
      </c>
      <c r="W5" s="5">
        <f t="shared" ca="1" si="0"/>
        <v>273</v>
      </c>
      <c r="X5" s="5">
        <f t="shared" ca="1" si="0"/>
        <v>31</v>
      </c>
      <c r="Y5" s="5">
        <f t="shared" ca="1" si="0"/>
        <v>863</v>
      </c>
      <c r="Z5" s="5">
        <f t="shared" ca="1" si="0"/>
        <v>849</v>
      </c>
      <c r="AA5" s="5">
        <f t="shared" ca="1" si="0"/>
        <v>336</v>
      </c>
      <c r="AB5" s="5">
        <f t="shared" ca="1" si="0"/>
        <v>686</v>
      </c>
      <c r="AC5" s="5">
        <f t="shared" ca="1" si="0"/>
        <v>6</v>
      </c>
      <c r="AD5" s="5">
        <f t="shared" ca="1" si="0"/>
        <v>363</v>
      </c>
      <c r="AE5" s="5">
        <f t="shared" ca="1" si="0"/>
        <v>807</v>
      </c>
    </row>
    <row r="6" spans="1:31" x14ac:dyDescent="0.3">
      <c r="A6" s="5" t="s">
        <v>14</v>
      </c>
      <c r="B6" s="5">
        <f t="shared" ca="1" si="1"/>
        <v>449</v>
      </c>
      <c r="C6" s="5">
        <f t="shared" ca="1" si="0"/>
        <v>318</v>
      </c>
      <c r="D6" s="5">
        <f t="shared" ca="1" si="0"/>
        <v>368</v>
      </c>
      <c r="E6" s="5">
        <f t="shared" ca="1" si="0"/>
        <v>505</v>
      </c>
      <c r="F6" s="5">
        <f t="shared" ca="1" si="0"/>
        <v>926</v>
      </c>
      <c r="G6" s="5">
        <f t="shared" ca="1" si="0"/>
        <v>257</v>
      </c>
      <c r="H6" s="5">
        <f t="shared" ca="1" si="0"/>
        <v>120</v>
      </c>
      <c r="I6" s="5">
        <f t="shared" ca="1" si="0"/>
        <v>923</v>
      </c>
      <c r="J6" s="5">
        <f t="shared" ca="1" si="0"/>
        <v>354</v>
      </c>
      <c r="K6" s="5">
        <f t="shared" ca="1" si="0"/>
        <v>94</v>
      </c>
      <c r="L6" s="5">
        <f t="shared" ca="1" si="0"/>
        <v>993</v>
      </c>
      <c r="M6" s="5">
        <f t="shared" ca="1" si="0"/>
        <v>128</v>
      </c>
      <c r="N6" s="5">
        <f t="shared" ca="1" si="0"/>
        <v>508</v>
      </c>
      <c r="O6" s="5">
        <f t="shared" ca="1" si="0"/>
        <v>998</v>
      </c>
      <c r="P6" s="5">
        <f t="shared" ca="1" si="0"/>
        <v>385</v>
      </c>
      <c r="Q6" s="5">
        <f t="shared" ca="1" si="0"/>
        <v>340</v>
      </c>
      <c r="R6" s="5">
        <f t="shared" ca="1" si="0"/>
        <v>119</v>
      </c>
      <c r="S6" s="5">
        <f t="shared" ca="1" si="0"/>
        <v>461</v>
      </c>
      <c r="T6" s="5">
        <f t="shared" ca="1" si="0"/>
        <v>420</v>
      </c>
      <c r="U6" s="5">
        <f t="shared" ca="1" si="0"/>
        <v>467</v>
      </c>
      <c r="V6" s="5">
        <f t="shared" ca="1" si="0"/>
        <v>617</v>
      </c>
      <c r="W6" s="5">
        <f t="shared" ca="1" si="0"/>
        <v>381</v>
      </c>
      <c r="X6" s="5">
        <f t="shared" ca="1" si="0"/>
        <v>982</v>
      </c>
      <c r="Y6" s="5">
        <f t="shared" ca="1" si="0"/>
        <v>694</v>
      </c>
      <c r="Z6" s="5">
        <f t="shared" ca="1" si="0"/>
        <v>651</v>
      </c>
      <c r="AA6" s="5">
        <f t="shared" ca="1" si="0"/>
        <v>502</v>
      </c>
      <c r="AB6" s="5">
        <f t="shared" ca="1" si="0"/>
        <v>282</v>
      </c>
      <c r="AC6" s="5">
        <f t="shared" ca="1" si="0"/>
        <v>243</v>
      </c>
      <c r="AD6" s="5">
        <f t="shared" ca="1" si="0"/>
        <v>854</v>
      </c>
      <c r="AE6" s="5">
        <f t="shared" ca="1" si="0"/>
        <v>716</v>
      </c>
    </row>
    <row r="7" spans="1:31" x14ac:dyDescent="0.3">
      <c r="A7" s="5" t="s">
        <v>15</v>
      </c>
      <c r="B7" s="5">
        <f t="shared" ca="1" si="1"/>
        <v>479</v>
      </c>
      <c r="C7" s="5">
        <f t="shared" ca="1" si="0"/>
        <v>8</v>
      </c>
      <c r="D7" s="5">
        <f t="shared" ca="1" si="0"/>
        <v>289</v>
      </c>
      <c r="E7" s="5">
        <f t="shared" ca="1" si="0"/>
        <v>432</v>
      </c>
      <c r="F7" s="5">
        <f t="shared" ca="1" si="0"/>
        <v>980</v>
      </c>
      <c r="G7" s="5">
        <f t="shared" ca="1" si="0"/>
        <v>748</v>
      </c>
      <c r="H7" s="5">
        <f t="shared" ca="1" si="0"/>
        <v>500</v>
      </c>
      <c r="I7" s="5">
        <f t="shared" ca="1" si="0"/>
        <v>487</v>
      </c>
      <c r="J7" s="5">
        <f t="shared" ca="1" si="0"/>
        <v>463</v>
      </c>
      <c r="K7" s="5">
        <f t="shared" ca="1" si="0"/>
        <v>171</v>
      </c>
      <c r="L7" s="5">
        <f t="shared" ca="1" si="0"/>
        <v>997</v>
      </c>
      <c r="M7" s="5">
        <f t="shared" ca="1" si="0"/>
        <v>795</v>
      </c>
      <c r="N7" s="5">
        <f t="shared" ca="1" si="0"/>
        <v>925</v>
      </c>
      <c r="O7" s="5">
        <f t="shared" ca="1" si="0"/>
        <v>382</v>
      </c>
      <c r="P7" s="5">
        <f t="shared" ca="1" si="0"/>
        <v>455</v>
      </c>
      <c r="Q7" s="5">
        <f t="shared" ca="1" si="0"/>
        <v>861</v>
      </c>
      <c r="R7" s="5">
        <f t="shared" ca="1" si="0"/>
        <v>167</v>
      </c>
      <c r="S7" s="5">
        <f t="shared" ca="1" si="0"/>
        <v>635</v>
      </c>
      <c r="T7" s="5">
        <f t="shared" ca="1" si="0"/>
        <v>885</v>
      </c>
      <c r="U7" s="5">
        <f t="shared" ca="1" si="0"/>
        <v>357</v>
      </c>
      <c r="V7" s="5">
        <f t="shared" ca="1" si="0"/>
        <v>492</v>
      </c>
      <c r="W7" s="5">
        <f t="shared" ca="1" si="0"/>
        <v>486</v>
      </c>
      <c r="X7" s="5">
        <f t="shared" ca="1" si="0"/>
        <v>235</v>
      </c>
      <c r="Y7" s="5">
        <f t="shared" ca="1" si="0"/>
        <v>237</v>
      </c>
      <c r="Z7" s="5">
        <f t="shared" ca="1" si="0"/>
        <v>512</v>
      </c>
      <c r="AA7" s="5">
        <f t="shared" ca="1" si="0"/>
        <v>208</v>
      </c>
      <c r="AB7" s="5">
        <f t="shared" ca="1" si="0"/>
        <v>344</v>
      </c>
      <c r="AC7" s="5">
        <f t="shared" ca="1" si="0"/>
        <v>146</v>
      </c>
      <c r="AD7" s="5">
        <f t="shared" ca="1" si="0"/>
        <v>943</v>
      </c>
      <c r="AE7" s="5">
        <f t="shared" ca="1" si="0"/>
        <v>310</v>
      </c>
    </row>
    <row r="8" spans="1:31" x14ac:dyDescent="0.3">
      <c r="A8" s="5" t="s">
        <v>16</v>
      </c>
      <c r="B8" s="5">
        <f t="shared" ca="1" si="1"/>
        <v>446</v>
      </c>
      <c r="C8" s="5">
        <f t="shared" ca="1" si="0"/>
        <v>441</v>
      </c>
      <c r="D8" s="5">
        <f t="shared" ca="1" si="0"/>
        <v>854</v>
      </c>
      <c r="E8" s="5">
        <f t="shared" ca="1" si="0"/>
        <v>71</v>
      </c>
      <c r="F8" s="5">
        <f t="shared" ca="1" si="0"/>
        <v>582</v>
      </c>
      <c r="G8" s="5">
        <f t="shared" ca="1" si="0"/>
        <v>982</v>
      </c>
      <c r="H8" s="5">
        <f t="shared" ca="1" si="0"/>
        <v>717</v>
      </c>
      <c r="I8" s="5">
        <f t="shared" ca="1" si="0"/>
        <v>66</v>
      </c>
      <c r="J8" s="5">
        <f t="shared" ca="1" si="0"/>
        <v>482</v>
      </c>
      <c r="K8" s="5">
        <f t="shared" ca="1" si="0"/>
        <v>469</v>
      </c>
      <c r="L8" s="5">
        <f t="shared" ca="1" si="0"/>
        <v>802</v>
      </c>
      <c r="M8" s="5">
        <f t="shared" ca="1" si="0"/>
        <v>281</v>
      </c>
      <c r="N8" s="5">
        <f t="shared" ca="1" si="0"/>
        <v>504</v>
      </c>
      <c r="O8" s="5">
        <f t="shared" ca="1" si="0"/>
        <v>753</v>
      </c>
      <c r="P8" s="5">
        <f t="shared" ca="1" si="0"/>
        <v>716</v>
      </c>
      <c r="Q8" s="5">
        <f t="shared" ca="1" si="0"/>
        <v>227</v>
      </c>
      <c r="R8" s="5">
        <f t="shared" ca="1" si="0"/>
        <v>157</v>
      </c>
      <c r="S8" s="5">
        <f t="shared" ca="1" si="0"/>
        <v>372</v>
      </c>
      <c r="T8" s="5">
        <f t="shared" ca="1" si="0"/>
        <v>942</v>
      </c>
      <c r="U8" s="5">
        <f t="shared" ca="1" si="0"/>
        <v>879</v>
      </c>
      <c r="V8" s="5">
        <f t="shared" ca="1" si="0"/>
        <v>477</v>
      </c>
      <c r="W8" s="5">
        <f t="shared" ca="1" si="0"/>
        <v>653</v>
      </c>
      <c r="X8" s="5">
        <f t="shared" ca="1" si="0"/>
        <v>698</v>
      </c>
      <c r="Y8" s="5">
        <f t="shared" ca="1" si="0"/>
        <v>892</v>
      </c>
      <c r="Z8" s="5">
        <f t="shared" ca="1" si="0"/>
        <v>568</v>
      </c>
      <c r="AA8" s="5">
        <f t="shared" ca="1" si="0"/>
        <v>86</v>
      </c>
      <c r="AB8" s="5">
        <f t="shared" ca="1" si="0"/>
        <v>836</v>
      </c>
      <c r="AC8" s="5">
        <f t="shared" ca="1" si="0"/>
        <v>794</v>
      </c>
      <c r="AD8" s="5">
        <f t="shared" ca="1" si="0"/>
        <v>917</v>
      </c>
      <c r="AE8" s="5">
        <f t="shared" ca="1" si="0"/>
        <v>313</v>
      </c>
    </row>
    <row r="9" spans="1:31" x14ac:dyDescent="0.3">
      <c r="A9" s="5" t="s">
        <v>17</v>
      </c>
      <c r="B9" s="5">
        <f t="shared" ca="1" si="1"/>
        <v>272</v>
      </c>
      <c r="C9" s="5">
        <f t="shared" ca="1" si="0"/>
        <v>579</v>
      </c>
      <c r="D9" s="5">
        <f t="shared" ca="1" si="0"/>
        <v>794</v>
      </c>
      <c r="E9" s="5">
        <f t="shared" ca="1" si="0"/>
        <v>950</v>
      </c>
      <c r="F9" s="5">
        <f t="shared" ca="1" si="0"/>
        <v>176</v>
      </c>
      <c r="G9" s="5">
        <f t="shared" ca="1" si="0"/>
        <v>510</v>
      </c>
      <c r="H9" s="5">
        <f t="shared" ca="1" si="0"/>
        <v>630</v>
      </c>
      <c r="I9" s="5">
        <f t="shared" ca="1" si="0"/>
        <v>441</v>
      </c>
      <c r="J9" s="5">
        <f t="shared" ca="1" si="0"/>
        <v>548</v>
      </c>
      <c r="K9" s="5">
        <f t="shared" ca="1" si="0"/>
        <v>534</v>
      </c>
      <c r="L9" s="5">
        <f t="shared" ca="1" si="0"/>
        <v>433</v>
      </c>
      <c r="M9" s="5">
        <f t="shared" ca="1" si="0"/>
        <v>549</v>
      </c>
      <c r="N9" s="5">
        <f t="shared" ca="1" si="0"/>
        <v>485</v>
      </c>
      <c r="O9" s="5">
        <f t="shared" ca="1" si="0"/>
        <v>821</v>
      </c>
      <c r="P9" s="5">
        <f t="shared" ca="1" si="0"/>
        <v>635</v>
      </c>
      <c r="Q9" s="5">
        <f t="shared" ca="1" si="0"/>
        <v>600</v>
      </c>
      <c r="R9" s="5">
        <f t="shared" ca="1" si="0"/>
        <v>21</v>
      </c>
      <c r="S9" s="5">
        <f t="shared" ca="1" si="0"/>
        <v>24</v>
      </c>
      <c r="T9" s="5">
        <f t="shared" ca="1" si="0"/>
        <v>890</v>
      </c>
      <c r="U9" s="5">
        <f t="shared" ca="1" si="0"/>
        <v>509</v>
      </c>
      <c r="V9" s="5">
        <f t="shared" ca="1" si="0"/>
        <v>98</v>
      </c>
      <c r="W9" s="5">
        <f t="shared" ca="1" si="0"/>
        <v>275</v>
      </c>
      <c r="X9" s="5">
        <f t="shared" ca="1" si="0"/>
        <v>760</v>
      </c>
      <c r="Y9" s="5">
        <f t="shared" ca="1" si="0"/>
        <v>425</v>
      </c>
      <c r="Z9" s="5">
        <f t="shared" ca="1" si="0"/>
        <v>447</v>
      </c>
      <c r="AA9" s="5">
        <f t="shared" ca="1" si="0"/>
        <v>314</v>
      </c>
      <c r="AB9" s="5">
        <f t="shared" ca="1" si="0"/>
        <v>367</v>
      </c>
      <c r="AC9" s="5">
        <f t="shared" ca="1" si="0"/>
        <v>57</v>
      </c>
      <c r="AD9" s="5">
        <f t="shared" ca="1" si="0"/>
        <v>627</v>
      </c>
      <c r="AE9" s="5">
        <f t="shared" ca="1" si="0"/>
        <v>767</v>
      </c>
    </row>
    <row r="10" spans="1:31" x14ac:dyDescent="0.3">
      <c r="A10" s="5" t="s">
        <v>18</v>
      </c>
      <c r="B10" s="5">
        <f t="shared" ca="1" si="1"/>
        <v>563</v>
      </c>
      <c r="C10" s="5">
        <f t="shared" ca="1" si="0"/>
        <v>472</v>
      </c>
      <c r="D10" s="5">
        <f t="shared" ca="1" si="0"/>
        <v>920</v>
      </c>
      <c r="E10" s="5">
        <f t="shared" ca="1" si="0"/>
        <v>78</v>
      </c>
      <c r="F10" s="5">
        <f t="shared" ca="1" si="0"/>
        <v>173</v>
      </c>
      <c r="G10" s="5">
        <f t="shared" ca="1" si="0"/>
        <v>65</v>
      </c>
      <c r="H10" s="5">
        <f t="shared" ca="1" si="0"/>
        <v>496</v>
      </c>
      <c r="I10" s="5">
        <f t="shared" ca="1" si="0"/>
        <v>767</v>
      </c>
      <c r="J10" s="5">
        <f t="shared" ca="1" si="0"/>
        <v>578</v>
      </c>
      <c r="K10" s="5">
        <f t="shared" ca="1" si="0"/>
        <v>888</v>
      </c>
      <c r="L10" s="5">
        <f t="shared" ca="1" si="0"/>
        <v>88</v>
      </c>
      <c r="M10" s="5">
        <f t="shared" ca="1" si="0"/>
        <v>708</v>
      </c>
      <c r="N10" s="5">
        <f t="shared" ca="1" si="0"/>
        <v>586</v>
      </c>
      <c r="O10" s="5">
        <f t="shared" ca="1" si="0"/>
        <v>84</v>
      </c>
      <c r="P10" s="5">
        <f t="shared" ca="1" si="0"/>
        <v>741</v>
      </c>
      <c r="Q10" s="5">
        <f t="shared" ca="1" si="0"/>
        <v>658</v>
      </c>
      <c r="R10" s="5">
        <f t="shared" ca="1" si="0"/>
        <v>577</v>
      </c>
      <c r="S10" s="5">
        <f t="shared" ca="1" si="0"/>
        <v>334</v>
      </c>
      <c r="T10" s="5">
        <f t="shared" ca="1" si="0"/>
        <v>528</v>
      </c>
      <c r="U10" s="5">
        <f t="shared" ca="1" si="0"/>
        <v>869</v>
      </c>
      <c r="V10" s="5">
        <f t="shared" ca="1" si="0"/>
        <v>694</v>
      </c>
      <c r="W10" s="5">
        <f t="shared" ca="1" si="0"/>
        <v>753</v>
      </c>
      <c r="X10" s="5">
        <f t="shared" ca="1" si="0"/>
        <v>203</v>
      </c>
      <c r="Y10" s="5">
        <f t="shared" ca="1" si="0"/>
        <v>235</v>
      </c>
      <c r="Z10" s="5">
        <f t="shared" ca="1" si="0"/>
        <v>981</v>
      </c>
      <c r="AA10" s="5">
        <f t="shared" ca="1" si="0"/>
        <v>203</v>
      </c>
      <c r="AB10" s="5">
        <f t="shared" ca="1" si="0"/>
        <v>905</v>
      </c>
      <c r="AC10" s="5">
        <f t="shared" ca="1" si="0"/>
        <v>931</v>
      </c>
      <c r="AD10" s="5">
        <f t="shared" ca="1" si="0"/>
        <v>961</v>
      </c>
      <c r="AE10" s="5">
        <f t="shared" ca="1" si="0"/>
        <v>755</v>
      </c>
    </row>
    <row r="11" spans="1:31" x14ac:dyDescent="0.3">
      <c r="A11" s="5" t="s">
        <v>19</v>
      </c>
      <c r="B11" s="5">
        <f t="shared" ca="1" si="1"/>
        <v>245</v>
      </c>
      <c r="C11" s="5">
        <f t="shared" ca="1" si="0"/>
        <v>852</v>
      </c>
      <c r="D11" s="5">
        <f t="shared" ca="1" si="0"/>
        <v>259</v>
      </c>
      <c r="E11" s="5">
        <f t="shared" ca="1" si="0"/>
        <v>579</v>
      </c>
      <c r="F11" s="5">
        <f t="shared" ca="1" si="0"/>
        <v>533</v>
      </c>
      <c r="G11" s="5">
        <f t="shared" ca="1" si="0"/>
        <v>610</v>
      </c>
      <c r="H11" s="5">
        <f t="shared" ca="1" si="0"/>
        <v>927</v>
      </c>
      <c r="I11" s="5">
        <f t="shared" ca="1" si="0"/>
        <v>360</v>
      </c>
      <c r="J11" s="5">
        <f t="shared" ca="1" si="0"/>
        <v>983</v>
      </c>
      <c r="K11" s="5">
        <f t="shared" ca="1" si="0"/>
        <v>241</v>
      </c>
      <c r="L11" s="5">
        <f t="shared" ca="1" si="0"/>
        <v>441</v>
      </c>
      <c r="M11" s="5">
        <f t="shared" ca="1" si="0"/>
        <v>680</v>
      </c>
      <c r="N11" s="5">
        <f t="shared" ca="1" si="0"/>
        <v>494</v>
      </c>
      <c r="O11" s="5">
        <f t="shared" ca="1" si="0"/>
        <v>691</v>
      </c>
      <c r="P11" s="5">
        <f t="shared" ca="1" si="0"/>
        <v>605</v>
      </c>
      <c r="Q11" s="5">
        <f t="shared" ca="1" si="0"/>
        <v>270</v>
      </c>
      <c r="R11" s="5">
        <f t="shared" ca="1" si="0"/>
        <v>66</v>
      </c>
      <c r="S11" s="5">
        <f t="shared" ca="1" si="0"/>
        <v>383</v>
      </c>
      <c r="T11" s="5">
        <f t="shared" ca="1" si="0"/>
        <v>597</v>
      </c>
      <c r="U11" s="5">
        <f t="shared" ca="1" si="0"/>
        <v>1000</v>
      </c>
      <c r="V11" s="5">
        <f t="shared" ca="1" si="0"/>
        <v>429</v>
      </c>
      <c r="W11" s="5">
        <f t="shared" ca="1" si="0"/>
        <v>466</v>
      </c>
      <c r="X11" s="5">
        <f t="shared" ca="1" si="0"/>
        <v>540</v>
      </c>
      <c r="Y11" s="5">
        <f t="shared" ca="1" si="0"/>
        <v>886</v>
      </c>
      <c r="Z11" s="5">
        <f t="shared" ca="1" si="0"/>
        <v>421</v>
      </c>
      <c r="AA11" s="5">
        <f t="shared" ca="1" si="0"/>
        <v>117</v>
      </c>
      <c r="AB11" s="5">
        <f t="shared" ca="1" si="0"/>
        <v>892</v>
      </c>
      <c r="AC11" s="5">
        <f t="shared" ca="1" si="0"/>
        <v>145</v>
      </c>
      <c r="AD11" s="5">
        <f t="shared" ca="1" si="0"/>
        <v>989</v>
      </c>
      <c r="AE11" s="5">
        <f t="shared" ca="1" si="0"/>
        <v>823</v>
      </c>
    </row>
    <row r="12" spans="1:31" x14ac:dyDescent="0.3">
      <c r="A12" s="5" t="s">
        <v>20</v>
      </c>
      <c r="B12" s="5">
        <f t="shared" ca="1" si="1"/>
        <v>965</v>
      </c>
      <c r="C12" s="5">
        <f t="shared" ca="1" si="0"/>
        <v>875</v>
      </c>
      <c r="D12" s="5">
        <f t="shared" ca="1" si="0"/>
        <v>595</v>
      </c>
      <c r="E12" s="5">
        <f t="shared" ca="1" si="0"/>
        <v>652</v>
      </c>
      <c r="F12" s="5">
        <f t="shared" ca="1" si="0"/>
        <v>183</v>
      </c>
      <c r="G12" s="5">
        <f t="shared" ca="1" si="0"/>
        <v>612</v>
      </c>
      <c r="H12" s="5">
        <f t="shared" ca="1" si="0"/>
        <v>833</v>
      </c>
      <c r="I12" s="5">
        <f t="shared" ca="1" si="0"/>
        <v>665</v>
      </c>
      <c r="J12" s="5">
        <f t="shared" ca="1" si="0"/>
        <v>479</v>
      </c>
      <c r="K12" s="5">
        <f t="shared" ca="1" si="0"/>
        <v>909</v>
      </c>
      <c r="L12" s="5">
        <f t="shared" ref="L12:AE12" ca="1" si="2">RANDBETWEEN(1,1000)</f>
        <v>234</v>
      </c>
      <c r="M12" s="5">
        <f t="shared" ca="1" si="2"/>
        <v>821</v>
      </c>
      <c r="N12" s="5">
        <f t="shared" ca="1" si="2"/>
        <v>366</v>
      </c>
      <c r="O12" s="5">
        <f t="shared" ca="1" si="2"/>
        <v>188</v>
      </c>
      <c r="P12" s="5">
        <f t="shared" ca="1" si="2"/>
        <v>572</v>
      </c>
      <c r="Q12" s="5">
        <f t="shared" ca="1" si="2"/>
        <v>585</v>
      </c>
      <c r="R12" s="5">
        <f t="shared" ca="1" si="2"/>
        <v>109</v>
      </c>
      <c r="S12" s="5">
        <f t="shared" ca="1" si="2"/>
        <v>489</v>
      </c>
      <c r="T12" s="5">
        <f t="shared" ca="1" si="2"/>
        <v>679</v>
      </c>
      <c r="U12" s="5">
        <f t="shared" ca="1" si="2"/>
        <v>975</v>
      </c>
      <c r="V12" s="5">
        <f t="shared" ca="1" si="2"/>
        <v>550</v>
      </c>
      <c r="W12" s="5">
        <f t="shared" ca="1" si="2"/>
        <v>764</v>
      </c>
      <c r="X12" s="5">
        <f t="shared" ca="1" si="2"/>
        <v>86</v>
      </c>
      <c r="Y12" s="5">
        <f t="shared" ca="1" si="2"/>
        <v>228</v>
      </c>
      <c r="Z12" s="5">
        <f t="shared" ca="1" si="2"/>
        <v>455</v>
      </c>
      <c r="AA12" s="5">
        <f t="shared" ca="1" si="2"/>
        <v>613</v>
      </c>
      <c r="AB12" s="5">
        <f t="shared" ca="1" si="2"/>
        <v>228</v>
      </c>
      <c r="AC12" s="5">
        <f t="shared" ca="1" si="2"/>
        <v>567</v>
      </c>
      <c r="AD12" s="5">
        <f t="shared" ca="1" si="2"/>
        <v>743</v>
      </c>
      <c r="AE12" s="5">
        <f t="shared" ca="1" si="2"/>
        <v>332</v>
      </c>
    </row>
    <row r="13" spans="1:31" x14ac:dyDescent="0.3">
      <c r="A13" s="3"/>
    </row>
    <row r="14" spans="1:31" x14ac:dyDescent="0.3">
      <c r="A14" s="4" t="s">
        <v>2</v>
      </c>
    </row>
    <row r="15" spans="1:31" x14ac:dyDescent="0.3">
      <c r="A15" t="s">
        <v>1</v>
      </c>
      <c r="B15">
        <v>2001</v>
      </c>
      <c r="C15">
        <v>2002</v>
      </c>
      <c r="D15">
        <v>2003</v>
      </c>
      <c r="E15">
        <v>2004</v>
      </c>
      <c r="F15">
        <v>2005</v>
      </c>
      <c r="G15">
        <v>2006</v>
      </c>
      <c r="H15">
        <v>2007</v>
      </c>
      <c r="I15">
        <v>2008</v>
      </c>
      <c r="J15">
        <v>2009</v>
      </c>
      <c r="K15">
        <v>2010</v>
      </c>
      <c r="L15">
        <v>2011</v>
      </c>
      <c r="M15">
        <v>2012</v>
      </c>
      <c r="N15">
        <v>2013</v>
      </c>
      <c r="O15">
        <v>2014</v>
      </c>
      <c r="P15">
        <v>2015</v>
      </c>
      <c r="Q15">
        <v>2016</v>
      </c>
      <c r="R15">
        <v>2017</v>
      </c>
      <c r="S15">
        <v>2018</v>
      </c>
      <c r="T15">
        <v>2019</v>
      </c>
      <c r="U15">
        <v>2020</v>
      </c>
      <c r="V15">
        <v>2021</v>
      </c>
      <c r="W15">
        <v>2022</v>
      </c>
      <c r="X15">
        <v>2023</v>
      </c>
      <c r="Y15">
        <v>2024</v>
      </c>
      <c r="Z15">
        <v>2025</v>
      </c>
      <c r="AA15">
        <v>2026</v>
      </c>
      <c r="AB15">
        <v>2027</v>
      </c>
      <c r="AC15">
        <v>2028</v>
      </c>
      <c r="AD15">
        <v>2029</v>
      </c>
      <c r="AE15">
        <v>2030</v>
      </c>
    </row>
    <row r="16" spans="1:31" x14ac:dyDescent="0.3">
      <c r="A16" s="5" t="s">
        <v>21</v>
      </c>
      <c r="B16" s="5">
        <f t="shared" ref="B16:Q25" ca="1" si="3">RANDBETWEEN(1,1000)</f>
        <v>647</v>
      </c>
      <c r="C16" s="5">
        <f t="shared" ca="1" si="3"/>
        <v>505</v>
      </c>
      <c r="D16" s="5">
        <f t="shared" ca="1" si="3"/>
        <v>924</v>
      </c>
      <c r="E16" s="5">
        <f t="shared" ca="1" si="3"/>
        <v>664</v>
      </c>
      <c r="F16" s="5">
        <f t="shared" ca="1" si="3"/>
        <v>172</v>
      </c>
      <c r="G16" s="5">
        <f t="shared" ca="1" si="3"/>
        <v>713</v>
      </c>
      <c r="H16" s="5">
        <f t="shared" ca="1" si="3"/>
        <v>392</v>
      </c>
      <c r="I16" s="5">
        <f t="shared" ca="1" si="3"/>
        <v>878</v>
      </c>
      <c r="J16" s="5">
        <f t="shared" ca="1" si="3"/>
        <v>87</v>
      </c>
      <c r="K16" s="5">
        <f t="shared" ca="1" si="3"/>
        <v>423</v>
      </c>
      <c r="L16" s="5">
        <f t="shared" ca="1" si="3"/>
        <v>241</v>
      </c>
      <c r="M16" s="5">
        <f t="shared" ca="1" si="3"/>
        <v>523</v>
      </c>
      <c r="N16" s="5">
        <f t="shared" ca="1" si="3"/>
        <v>589</v>
      </c>
      <c r="O16" s="5">
        <f t="shared" ca="1" si="3"/>
        <v>960</v>
      </c>
      <c r="P16" s="5">
        <f t="shared" ca="1" si="3"/>
        <v>308</v>
      </c>
      <c r="Q16" s="5">
        <f t="shared" ca="1" si="3"/>
        <v>104</v>
      </c>
      <c r="R16" s="5">
        <f t="shared" ref="C16:AE25" ca="1" si="4">RANDBETWEEN(1,1000)</f>
        <v>513</v>
      </c>
      <c r="S16" s="5">
        <f t="shared" ca="1" si="4"/>
        <v>62</v>
      </c>
      <c r="T16" s="5">
        <f t="shared" ca="1" si="4"/>
        <v>379</v>
      </c>
      <c r="U16" s="5">
        <f t="shared" ca="1" si="4"/>
        <v>57</v>
      </c>
      <c r="V16" s="5">
        <f t="shared" ca="1" si="4"/>
        <v>454</v>
      </c>
      <c r="W16" s="5">
        <f t="shared" ca="1" si="4"/>
        <v>218</v>
      </c>
      <c r="X16" s="5">
        <f t="shared" ca="1" si="4"/>
        <v>573</v>
      </c>
      <c r="Y16" s="5">
        <f t="shared" ca="1" si="4"/>
        <v>943</v>
      </c>
      <c r="Z16" s="5">
        <f t="shared" ca="1" si="4"/>
        <v>390</v>
      </c>
      <c r="AA16" s="5">
        <f t="shared" ca="1" si="4"/>
        <v>137</v>
      </c>
      <c r="AB16" s="5">
        <f t="shared" ca="1" si="4"/>
        <v>466</v>
      </c>
      <c r="AC16" s="5">
        <f t="shared" ca="1" si="4"/>
        <v>6</v>
      </c>
      <c r="AD16" s="5">
        <f t="shared" ca="1" si="4"/>
        <v>207</v>
      </c>
      <c r="AE16" s="5">
        <f t="shared" ca="1" si="4"/>
        <v>573</v>
      </c>
    </row>
    <row r="17" spans="1:31" x14ac:dyDescent="0.3">
      <c r="A17" s="5" t="s">
        <v>22</v>
      </c>
      <c r="B17" s="5">
        <f t="shared" ca="1" si="3"/>
        <v>822</v>
      </c>
      <c r="C17" s="5">
        <f t="shared" ca="1" si="4"/>
        <v>213</v>
      </c>
      <c r="D17" s="5">
        <f t="shared" ca="1" si="4"/>
        <v>671</v>
      </c>
      <c r="E17" s="5">
        <f t="shared" ca="1" si="4"/>
        <v>14</v>
      </c>
      <c r="F17" s="5">
        <f t="shared" ca="1" si="4"/>
        <v>236</v>
      </c>
      <c r="G17" s="5">
        <f t="shared" ca="1" si="4"/>
        <v>23</v>
      </c>
      <c r="H17" s="5">
        <f t="shared" ca="1" si="4"/>
        <v>649</v>
      </c>
      <c r="I17" s="5">
        <f t="shared" ca="1" si="4"/>
        <v>835</v>
      </c>
      <c r="J17" s="5">
        <f t="shared" ca="1" si="4"/>
        <v>89</v>
      </c>
      <c r="K17" s="5">
        <f t="shared" ca="1" si="4"/>
        <v>73</v>
      </c>
      <c r="L17" s="5">
        <f t="shared" ca="1" si="4"/>
        <v>541</v>
      </c>
      <c r="M17" s="5">
        <f t="shared" ca="1" si="4"/>
        <v>632</v>
      </c>
      <c r="N17" s="5">
        <f t="shared" ca="1" si="4"/>
        <v>12</v>
      </c>
      <c r="O17" s="5">
        <f t="shared" ca="1" si="4"/>
        <v>632</v>
      </c>
      <c r="P17" s="5">
        <f t="shared" ca="1" si="4"/>
        <v>210</v>
      </c>
      <c r="Q17" s="5">
        <f t="shared" ca="1" si="4"/>
        <v>395</v>
      </c>
      <c r="R17" s="5">
        <f t="shared" ca="1" si="4"/>
        <v>628</v>
      </c>
      <c r="S17" s="5">
        <f t="shared" ca="1" si="4"/>
        <v>141</v>
      </c>
      <c r="T17" s="5">
        <f t="shared" ca="1" si="4"/>
        <v>693</v>
      </c>
      <c r="U17" s="5">
        <f t="shared" ca="1" si="4"/>
        <v>327</v>
      </c>
      <c r="V17" s="5">
        <f t="shared" ca="1" si="4"/>
        <v>155</v>
      </c>
      <c r="W17" s="5">
        <f t="shared" ca="1" si="4"/>
        <v>404</v>
      </c>
      <c r="X17" s="5">
        <f t="shared" ca="1" si="4"/>
        <v>103</v>
      </c>
      <c r="Y17" s="5">
        <f t="shared" ca="1" si="4"/>
        <v>861</v>
      </c>
      <c r="Z17" s="5">
        <f t="shared" ca="1" si="4"/>
        <v>116</v>
      </c>
      <c r="AA17" s="5">
        <f t="shared" ca="1" si="4"/>
        <v>503</v>
      </c>
      <c r="AB17" s="5">
        <f t="shared" ca="1" si="4"/>
        <v>536</v>
      </c>
      <c r="AC17" s="5">
        <f t="shared" ca="1" si="4"/>
        <v>683</v>
      </c>
      <c r="AD17" s="5">
        <f t="shared" ca="1" si="4"/>
        <v>716</v>
      </c>
      <c r="AE17" s="5">
        <f t="shared" ca="1" si="4"/>
        <v>563</v>
      </c>
    </row>
    <row r="18" spans="1:31" x14ac:dyDescent="0.3">
      <c r="A18" s="5" t="s">
        <v>23</v>
      </c>
      <c r="B18" s="5">
        <f t="shared" ca="1" si="3"/>
        <v>93</v>
      </c>
      <c r="C18" s="5">
        <f t="shared" ca="1" si="4"/>
        <v>129</v>
      </c>
      <c r="D18" s="5">
        <f t="shared" ca="1" si="4"/>
        <v>481</v>
      </c>
      <c r="E18" s="5">
        <f t="shared" ca="1" si="4"/>
        <v>801</v>
      </c>
      <c r="F18" s="5">
        <f t="shared" ca="1" si="4"/>
        <v>120</v>
      </c>
      <c r="G18" s="5">
        <f t="shared" ca="1" si="4"/>
        <v>533</v>
      </c>
      <c r="H18" s="5">
        <f t="shared" ca="1" si="4"/>
        <v>409</v>
      </c>
      <c r="I18" s="5">
        <f t="shared" ca="1" si="4"/>
        <v>891</v>
      </c>
      <c r="J18" s="5">
        <f t="shared" ca="1" si="4"/>
        <v>919</v>
      </c>
      <c r="K18" s="5">
        <f t="shared" ca="1" si="4"/>
        <v>608</v>
      </c>
      <c r="L18" s="5">
        <f t="shared" ca="1" si="4"/>
        <v>326</v>
      </c>
      <c r="M18" s="5">
        <f t="shared" ca="1" si="4"/>
        <v>83</v>
      </c>
      <c r="N18" s="5">
        <f t="shared" ca="1" si="4"/>
        <v>709</v>
      </c>
      <c r="O18" s="5">
        <f t="shared" ca="1" si="4"/>
        <v>453</v>
      </c>
      <c r="P18" s="5">
        <f t="shared" ca="1" si="4"/>
        <v>683</v>
      </c>
      <c r="Q18" s="5">
        <f t="shared" ca="1" si="4"/>
        <v>222</v>
      </c>
      <c r="R18" s="5">
        <f t="shared" ca="1" si="4"/>
        <v>366</v>
      </c>
      <c r="S18" s="5">
        <f t="shared" ca="1" si="4"/>
        <v>591</v>
      </c>
      <c r="T18" s="5">
        <f t="shared" ca="1" si="4"/>
        <v>265</v>
      </c>
      <c r="U18" s="5">
        <f t="shared" ca="1" si="4"/>
        <v>263</v>
      </c>
      <c r="V18" s="5">
        <f t="shared" ca="1" si="4"/>
        <v>273</v>
      </c>
      <c r="W18" s="5">
        <f t="shared" ca="1" si="4"/>
        <v>668</v>
      </c>
      <c r="X18" s="5">
        <f t="shared" ca="1" si="4"/>
        <v>261</v>
      </c>
      <c r="Y18" s="5">
        <f t="shared" ca="1" si="4"/>
        <v>896</v>
      </c>
      <c r="Z18" s="5">
        <f t="shared" ca="1" si="4"/>
        <v>772</v>
      </c>
      <c r="AA18" s="5">
        <f t="shared" ca="1" si="4"/>
        <v>849</v>
      </c>
      <c r="AB18" s="5">
        <f t="shared" ca="1" si="4"/>
        <v>194</v>
      </c>
      <c r="AC18" s="5">
        <f t="shared" ca="1" si="4"/>
        <v>83</v>
      </c>
      <c r="AD18" s="5">
        <f t="shared" ca="1" si="4"/>
        <v>735</v>
      </c>
      <c r="AE18" s="5">
        <f t="shared" ca="1" si="4"/>
        <v>397</v>
      </c>
    </row>
    <row r="19" spans="1:31" x14ac:dyDescent="0.3">
      <c r="A19" s="5" t="s">
        <v>24</v>
      </c>
      <c r="B19" s="5">
        <f t="shared" ca="1" si="3"/>
        <v>494</v>
      </c>
      <c r="C19" s="5">
        <f t="shared" ca="1" si="4"/>
        <v>116</v>
      </c>
      <c r="D19" s="5">
        <f t="shared" ca="1" si="4"/>
        <v>646</v>
      </c>
      <c r="E19" s="5">
        <f t="shared" ca="1" si="4"/>
        <v>516</v>
      </c>
      <c r="F19" s="5">
        <f t="shared" ca="1" si="4"/>
        <v>329</v>
      </c>
      <c r="G19" s="5">
        <f t="shared" ca="1" si="4"/>
        <v>754</v>
      </c>
      <c r="H19" s="5">
        <f t="shared" ca="1" si="4"/>
        <v>178</v>
      </c>
      <c r="I19" s="5">
        <f t="shared" ca="1" si="4"/>
        <v>373</v>
      </c>
      <c r="J19" s="5">
        <f t="shared" ca="1" si="4"/>
        <v>205</v>
      </c>
      <c r="K19" s="5">
        <f t="shared" ca="1" si="4"/>
        <v>866</v>
      </c>
      <c r="L19" s="5">
        <f t="shared" ca="1" si="4"/>
        <v>29</v>
      </c>
      <c r="M19" s="5">
        <f t="shared" ca="1" si="4"/>
        <v>474</v>
      </c>
      <c r="N19" s="5">
        <f t="shared" ca="1" si="4"/>
        <v>904</v>
      </c>
      <c r="O19" s="5">
        <f t="shared" ca="1" si="4"/>
        <v>236</v>
      </c>
      <c r="P19" s="5">
        <f t="shared" ca="1" si="4"/>
        <v>842</v>
      </c>
      <c r="Q19" s="5">
        <f t="shared" ca="1" si="4"/>
        <v>836</v>
      </c>
      <c r="R19" s="5">
        <f t="shared" ca="1" si="4"/>
        <v>233</v>
      </c>
      <c r="S19" s="5">
        <f t="shared" ca="1" si="4"/>
        <v>55</v>
      </c>
      <c r="T19" s="5">
        <f t="shared" ca="1" si="4"/>
        <v>691</v>
      </c>
      <c r="U19" s="5">
        <f t="shared" ca="1" si="4"/>
        <v>919</v>
      </c>
      <c r="V19" s="5">
        <f t="shared" ca="1" si="4"/>
        <v>404</v>
      </c>
      <c r="W19" s="5">
        <f t="shared" ca="1" si="4"/>
        <v>681</v>
      </c>
      <c r="X19" s="5">
        <f t="shared" ca="1" si="4"/>
        <v>624</v>
      </c>
      <c r="Y19" s="5">
        <f t="shared" ca="1" si="4"/>
        <v>200</v>
      </c>
      <c r="Z19" s="5">
        <f t="shared" ca="1" si="4"/>
        <v>579</v>
      </c>
      <c r="AA19" s="5">
        <f t="shared" ca="1" si="4"/>
        <v>118</v>
      </c>
      <c r="AB19" s="5">
        <f t="shared" ca="1" si="4"/>
        <v>894</v>
      </c>
      <c r="AC19" s="5">
        <f t="shared" ca="1" si="4"/>
        <v>634</v>
      </c>
      <c r="AD19" s="5">
        <f t="shared" ca="1" si="4"/>
        <v>578</v>
      </c>
      <c r="AE19" s="5">
        <f t="shared" ca="1" si="4"/>
        <v>335</v>
      </c>
    </row>
    <row r="20" spans="1:31" x14ac:dyDescent="0.3">
      <c r="A20" s="5" t="s">
        <v>25</v>
      </c>
      <c r="B20" s="5">
        <f t="shared" ca="1" si="3"/>
        <v>225</v>
      </c>
      <c r="C20" s="5">
        <f t="shared" ca="1" si="4"/>
        <v>122</v>
      </c>
      <c r="D20" s="5">
        <f t="shared" ca="1" si="4"/>
        <v>543</v>
      </c>
      <c r="E20" s="5">
        <f t="shared" ca="1" si="4"/>
        <v>815</v>
      </c>
      <c r="F20" s="5">
        <f t="shared" ca="1" si="4"/>
        <v>685</v>
      </c>
      <c r="G20" s="5">
        <f t="shared" ca="1" si="4"/>
        <v>616</v>
      </c>
      <c r="H20" s="5">
        <f t="shared" ca="1" si="4"/>
        <v>154</v>
      </c>
      <c r="I20" s="5">
        <f t="shared" ca="1" si="4"/>
        <v>369</v>
      </c>
      <c r="J20" s="5">
        <f t="shared" ca="1" si="4"/>
        <v>860</v>
      </c>
      <c r="K20" s="5">
        <f t="shared" ca="1" si="4"/>
        <v>878</v>
      </c>
      <c r="L20" s="5">
        <f t="shared" ca="1" si="4"/>
        <v>407</v>
      </c>
      <c r="M20" s="5">
        <f t="shared" ca="1" si="4"/>
        <v>664</v>
      </c>
      <c r="N20" s="5">
        <f t="shared" ca="1" si="4"/>
        <v>71</v>
      </c>
      <c r="O20" s="5">
        <f t="shared" ca="1" si="4"/>
        <v>829</v>
      </c>
      <c r="P20" s="5">
        <f t="shared" ca="1" si="4"/>
        <v>44</v>
      </c>
      <c r="Q20" s="5">
        <f t="shared" ca="1" si="4"/>
        <v>920</v>
      </c>
      <c r="R20" s="5">
        <f t="shared" ca="1" si="4"/>
        <v>156</v>
      </c>
      <c r="S20" s="5">
        <f t="shared" ca="1" si="4"/>
        <v>65</v>
      </c>
      <c r="T20" s="5">
        <f t="shared" ca="1" si="4"/>
        <v>771</v>
      </c>
      <c r="U20" s="5">
        <f t="shared" ca="1" si="4"/>
        <v>729</v>
      </c>
      <c r="V20" s="5">
        <f t="shared" ca="1" si="4"/>
        <v>312</v>
      </c>
      <c r="W20" s="5">
        <f t="shared" ca="1" si="4"/>
        <v>731</v>
      </c>
      <c r="X20" s="5">
        <f t="shared" ca="1" si="4"/>
        <v>184</v>
      </c>
      <c r="Y20" s="5">
        <f t="shared" ca="1" si="4"/>
        <v>736</v>
      </c>
      <c r="Z20" s="5">
        <f t="shared" ca="1" si="4"/>
        <v>585</v>
      </c>
      <c r="AA20" s="5">
        <f t="shared" ca="1" si="4"/>
        <v>943</v>
      </c>
      <c r="AB20" s="5">
        <f t="shared" ca="1" si="4"/>
        <v>357</v>
      </c>
      <c r="AC20" s="5">
        <f t="shared" ca="1" si="4"/>
        <v>175</v>
      </c>
      <c r="AD20" s="5">
        <f t="shared" ca="1" si="4"/>
        <v>683</v>
      </c>
      <c r="AE20" s="5">
        <f t="shared" ca="1" si="4"/>
        <v>308</v>
      </c>
    </row>
    <row r="21" spans="1:31" x14ac:dyDescent="0.3">
      <c r="A21" s="2" t="s">
        <v>26</v>
      </c>
      <c r="B21" s="5">
        <f t="shared" ca="1" si="3"/>
        <v>632</v>
      </c>
      <c r="C21" s="5">
        <f t="shared" ca="1" si="4"/>
        <v>473</v>
      </c>
      <c r="D21" s="5">
        <f t="shared" ca="1" si="4"/>
        <v>83</v>
      </c>
      <c r="E21" s="5">
        <f t="shared" ca="1" si="4"/>
        <v>108</v>
      </c>
      <c r="F21" s="5">
        <f t="shared" ca="1" si="4"/>
        <v>344</v>
      </c>
      <c r="G21" s="5">
        <f t="shared" ca="1" si="4"/>
        <v>37</v>
      </c>
      <c r="H21" s="5">
        <f t="shared" ca="1" si="4"/>
        <v>441</v>
      </c>
      <c r="I21" s="5">
        <f t="shared" ca="1" si="4"/>
        <v>226</v>
      </c>
      <c r="J21" s="5">
        <f t="shared" ca="1" si="4"/>
        <v>837</v>
      </c>
      <c r="K21" s="5">
        <f t="shared" ca="1" si="4"/>
        <v>92</v>
      </c>
      <c r="L21" s="5">
        <f t="shared" ca="1" si="4"/>
        <v>348</v>
      </c>
      <c r="M21" s="5">
        <f t="shared" ca="1" si="4"/>
        <v>910</v>
      </c>
      <c r="N21" s="5">
        <f t="shared" ca="1" si="4"/>
        <v>420</v>
      </c>
      <c r="O21" s="5">
        <f t="shared" ca="1" si="4"/>
        <v>616</v>
      </c>
      <c r="P21" s="5">
        <f t="shared" ca="1" si="4"/>
        <v>940</v>
      </c>
      <c r="Q21" s="5">
        <f t="shared" ca="1" si="4"/>
        <v>454</v>
      </c>
      <c r="R21" s="5">
        <f t="shared" ca="1" si="4"/>
        <v>319</v>
      </c>
      <c r="S21" s="5">
        <f t="shared" ca="1" si="4"/>
        <v>960</v>
      </c>
      <c r="T21" s="5">
        <f t="shared" ca="1" si="4"/>
        <v>939</v>
      </c>
      <c r="U21" s="5">
        <f t="shared" ca="1" si="4"/>
        <v>77</v>
      </c>
      <c r="V21" s="5">
        <f t="shared" ca="1" si="4"/>
        <v>410</v>
      </c>
      <c r="W21" s="5">
        <f t="shared" ca="1" si="4"/>
        <v>938</v>
      </c>
      <c r="X21" s="5">
        <f t="shared" ca="1" si="4"/>
        <v>497</v>
      </c>
      <c r="Y21" s="5">
        <f t="shared" ca="1" si="4"/>
        <v>492</v>
      </c>
      <c r="Z21" s="5">
        <f t="shared" ca="1" si="4"/>
        <v>446</v>
      </c>
      <c r="AA21" s="5">
        <f t="shared" ca="1" si="4"/>
        <v>105</v>
      </c>
      <c r="AB21" s="5">
        <f t="shared" ca="1" si="4"/>
        <v>104</v>
      </c>
      <c r="AC21" s="5">
        <f t="shared" ca="1" si="4"/>
        <v>439</v>
      </c>
      <c r="AD21" s="5">
        <f t="shared" ca="1" si="4"/>
        <v>442</v>
      </c>
      <c r="AE21" s="5">
        <f t="shared" ca="1" si="4"/>
        <v>466</v>
      </c>
    </row>
    <row r="22" spans="1:31" x14ac:dyDescent="0.3">
      <c r="A22" s="2" t="s">
        <v>27</v>
      </c>
      <c r="B22" s="5">
        <f t="shared" ca="1" si="3"/>
        <v>151</v>
      </c>
      <c r="C22" s="5">
        <f t="shared" ca="1" si="4"/>
        <v>728</v>
      </c>
      <c r="D22" s="5">
        <f t="shared" ca="1" si="4"/>
        <v>133</v>
      </c>
      <c r="E22" s="5">
        <f t="shared" ca="1" si="4"/>
        <v>50</v>
      </c>
      <c r="F22" s="5">
        <f t="shared" ca="1" si="4"/>
        <v>688</v>
      </c>
      <c r="G22" s="5">
        <f t="shared" ca="1" si="4"/>
        <v>747</v>
      </c>
      <c r="H22" s="5">
        <f t="shared" ca="1" si="4"/>
        <v>396</v>
      </c>
      <c r="I22" s="5">
        <f t="shared" ca="1" si="4"/>
        <v>484</v>
      </c>
      <c r="J22" s="5">
        <f t="shared" ca="1" si="4"/>
        <v>150</v>
      </c>
      <c r="K22" s="5">
        <f t="shared" ca="1" si="4"/>
        <v>221</v>
      </c>
      <c r="L22" s="5">
        <f t="shared" ca="1" si="4"/>
        <v>310</v>
      </c>
      <c r="M22" s="5">
        <f t="shared" ca="1" si="4"/>
        <v>778</v>
      </c>
      <c r="N22" s="5">
        <f t="shared" ca="1" si="4"/>
        <v>353</v>
      </c>
      <c r="O22" s="5">
        <f t="shared" ca="1" si="4"/>
        <v>410</v>
      </c>
      <c r="P22" s="5">
        <f t="shared" ca="1" si="4"/>
        <v>197</v>
      </c>
      <c r="Q22" s="5">
        <f t="shared" ca="1" si="4"/>
        <v>339</v>
      </c>
      <c r="R22" s="5">
        <f t="shared" ca="1" si="4"/>
        <v>557</v>
      </c>
      <c r="S22" s="5">
        <f t="shared" ca="1" si="4"/>
        <v>908</v>
      </c>
      <c r="T22" s="5">
        <f t="shared" ca="1" si="4"/>
        <v>447</v>
      </c>
      <c r="U22" s="5">
        <f t="shared" ca="1" si="4"/>
        <v>46</v>
      </c>
      <c r="V22" s="5">
        <f t="shared" ca="1" si="4"/>
        <v>485</v>
      </c>
      <c r="W22" s="5">
        <f t="shared" ca="1" si="4"/>
        <v>426</v>
      </c>
      <c r="X22" s="5">
        <f t="shared" ca="1" si="4"/>
        <v>683</v>
      </c>
      <c r="Y22" s="5">
        <f t="shared" ca="1" si="4"/>
        <v>732</v>
      </c>
      <c r="Z22" s="5">
        <f t="shared" ca="1" si="4"/>
        <v>257</v>
      </c>
      <c r="AA22" s="5">
        <f t="shared" ca="1" si="4"/>
        <v>937</v>
      </c>
      <c r="AB22" s="5">
        <f t="shared" ca="1" si="4"/>
        <v>593</v>
      </c>
      <c r="AC22" s="5">
        <f t="shared" ca="1" si="4"/>
        <v>547</v>
      </c>
      <c r="AD22" s="5">
        <f t="shared" ca="1" si="4"/>
        <v>218</v>
      </c>
      <c r="AE22" s="5">
        <f t="shared" ca="1" si="4"/>
        <v>227</v>
      </c>
    </row>
    <row r="23" spans="1:31" x14ac:dyDescent="0.3">
      <c r="A23" s="2" t="s">
        <v>28</v>
      </c>
      <c r="B23" s="5">
        <f t="shared" ca="1" si="3"/>
        <v>950</v>
      </c>
      <c r="C23" s="5">
        <f t="shared" ca="1" si="4"/>
        <v>768</v>
      </c>
      <c r="D23" s="5">
        <f t="shared" ca="1" si="4"/>
        <v>873</v>
      </c>
      <c r="E23" s="5">
        <f t="shared" ca="1" si="4"/>
        <v>485</v>
      </c>
      <c r="F23" s="5">
        <f t="shared" ca="1" si="4"/>
        <v>899</v>
      </c>
      <c r="G23" s="5">
        <f t="shared" ca="1" si="4"/>
        <v>986</v>
      </c>
      <c r="H23" s="5">
        <f t="shared" ca="1" si="4"/>
        <v>926</v>
      </c>
      <c r="I23" s="5">
        <f t="shared" ca="1" si="4"/>
        <v>730</v>
      </c>
      <c r="J23" s="5">
        <f t="shared" ca="1" si="4"/>
        <v>511</v>
      </c>
      <c r="K23" s="5">
        <f t="shared" ca="1" si="4"/>
        <v>724</v>
      </c>
      <c r="L23" s="5">
        <f t="shared" ca="1" si="4"/>
        <v>794</v>
      </c>
      <c r="M23" s="5">
        <f t="shared" ca="1" si="4"/>
        <v>507</v>
      </c>
      <c r="N23" s="5">
        <f t="shared" ca="1" si="4"/>
        <v>694</v>
      </c>
      <c r="O23" s="5">
        <f t="shared" ca="1" si="4"/>
        <v>706</v>
      </c>
      <c r="P23" s="5">
        <f t="shared" ca="1" si="4"/>
        <v>630</v>
      </c>
      <c r="Q23" s="5">
        <f t="shared" ca="1" si="4"/>
        <v>597</v>
      </c>
      <c r="R23" s="5">
        <f t="shared" ca="1" si="4"/>
        <v>842</v>
      </c>
      <c r="S23" s="5">
        <f t="shared" ca="1" si="4"/>
        <v>926</v>
      </c>
      <c r="T23" s="5">
        <f t="shared" ca="1" si="4"/>
        <v>50</v>
      </c>
      <c r="U23" s="5">
        <f t="shared" ca="1" si="4"/>
        <v>273</v>
      </c>
      <c r="V23" s="5">
        <f t="shared" ca="1" si="4"/>
        <v>312</v>
      </c>
      <c r="W23" s="5">
        <f t="shared" ca="1" si="4"/>
        <v>99</v>
      </c>
      <c r="X23" s="5">
        <f t="shared" ca="1" si="4"/>
        <v>956</v>
      </c>
      <c r="Y23" s="5">
        <f t="shared" ca="1" si="4"/>
        <v>151</v>
      </c>
      <c r="Z23" s="5">
        <f t="shared" ca="1" si="4"/>
        <v>452</v>
      </c>
      <c r="AA23" s="5">
        <f t="shared" ca="1" si="4"/>
        <v>96</v>
      </c>
      <c r="AB23" s="5">
        <f t="shared" ca="1" si="4"/>
        <v>984</v>
      </c>
      <c r="AC23" s="5">
        <f t="shared" ca="1" si="4"/>
        <v>110</v>
      </c>
      <c r="AD23" s="5">
        <f t="shared" ca="1" si="4"/>
        <v>864</v>
      </c>
      <c r="AE23" s="5">
        <f t="shared" ca="1" si="4"/>
        <v>11</v>
      </c>
    </row>
    <row r="24" spans="1:31" x14ac:dyDescent="0.3">
      <c r="A24" s="2" t="s">
        <v>17</v>
      </c>
      <c r="B24" s="5">
        <f t="shared" ca="1" si="3"/>
        <v>996</v>
      </c>
      <c r="C24" s="5">
        <f t="shared" ca="1" si="4"/>
        <v>933</v>
      </c>
      <c r="D24" s="5">
        <f t="shared" ca="1" si="4"/>
        <v>80</v>
      </c>
      <c r="E24" s="5">
        <f t="shared" ca="1" si="4"/>
        <v>700</v>
      </c>
      <c r="F24" s="5">
        <f t="shared" ca="1" si="4"/>
        <v>785</v>
      </c>
      <c r="G24" s="5">
        <f t="shared" ca="1" si="4"/>
        <v>770</v>
      </c>
      <c r="H24" s="5">
        <f t="shared" ca="1" si="4"/>
        <v>474</v>
      </c>
      <c r="I24" s="5">
        <f t="shared" ca="1" si="4"/>
        <v>897</v>
      </c>
      <c r="J24" s="5">
        <f t="shared" ca="1" si="4"/>
        <v>713</v>
      </c>
      <c r="K24" s="5">
        <f t="shared" ca="1" si="4"/>
        <v>449</v>
      </c>
      <c r="L24" s="5">
        <f t="shared" ca="1" si="4"/>
        <v>272</v>
      </c>
      <c r="M24" s="5">
        <f t="shared" ca="1" si="4"/>
        <v>825</v>
      </c>
      <c r="N24" s="5">
        <f t="shared" ca="1" si="4"/>
        <v>499</v>
      </c>
      <c r="O24" s="5">
        <f t="shared" ca="1" si="4"/>
        <v>441</v>
      </c>
      <c r="P24" s="5">
        <f t="shared" ca="1" si="4"/>
        <v>270</v>
      </c>
      <c r="Q24" s="5">
        <f t="shared" ca="1" si="4"/>
        <v>47</v>
      </c>
      <c r="R24" s="5">
        <f t="shared" ca="1" si="4"/>
        <v>217</v>
      </c>
      <c r="S24" s="5">
        <f t="shared" ca="1" si="4"/>
        <v>882</v>
      </c>
      <c r="T24" s="5">
        <f t="shared" ca="1" si="4"/>
        <v>970</v>
      </c>
      <c r="U24" s="5">
        <f t="shared" ca="1" si="4"/>
        <v>48</v>
      </c>
      <c r="V24" s="5">
        <f t="shared" ca="1" si="4"/>
        <v>165</v>
      </c>
      <c r="W24" s="5">
        <f t="shared" ca="1" si="4"/>
        <v>676</v>
      </c>
      <c r="X24" s="5">
        <f t="shared" ca="1" si="4"/>
        <v>971</v>
      </c>
      <c r="Y24" s="5">
        <f t="shared" ca="1" si="4"/>
        <v>777</v>
      </c>
      <c r="Z24" s="5">
        <f t="shared" ca="1" si="4"/>
        <v>89</v>
      </c>
      <c r="AA24" s="5">
        <f t="shared" ca="1" si="4"/>
        <v>833</v>
      </c>
      <c r="AB24" s="5">
        <f t="shared" ca="1" si="4"/>
        <v>88</v>
      </c>
      <c r="AC24" s="5">
        <f t="shared" ca="1" si="4"/>
        <v>789</v>
      </c>
      <c r="AD24" s="5">
        <f t="shared" ca="1" si="4"/>
        <v>55</v>
      </c>
      <c r="AE24" s="5">
        <f t="shared" ca="1" si="4"/>
        <v>943</v>
      </c>
    </row>
    <row r="25" spans="1:31" x14ac:dyDescent="0.3">
      <c r="A25" s="2" t="s">
        <v>29</v>
      </c>
      <c r="B25" s="5">
        <f t="shared" ca="1" si="3"/>
        <v>991</v>
      </c>
      <c r="C25" s="5">
        <f t="shared" ca="1" si="4"/>
        <v>805</v>
      </c>
      <c r="D25" s="5">
        <f t="shared" ca="1" si="4"/>
        <v>419</v>
      </c>
      <c r="E25" s="5">
        <f t="shared" ca="1" si="4"/>
        <v>926</v>
      </c>
      <c r="F25" s="5">
        <f t="shared" ca="1" si="4"/>
        <v>282</v>
      </c>
      <c r="G25" s="5">
        <f t="shared" ca="1" si="4"/>
        <v>556</v>
      </c>
      <c r="H25" s="5">
        <f t="shared" ca="1" si="4"/>
        <v>628</v>
      </c>
      <c r="I25" s="5">
        <f t="shared" ca="1" si="4"/>
        <v>293</v>
      </c>
      <c r="J25" s="5">
        <f t="shared" ca="1" si="4"/>
        <v>59</v>
      </c>
      <c r="K25" s="5">
        <f t="shared" ca="1" si="4"/>
        <v>388</v>
      </c>
      <c r="L25" s="5">
        <f t="shared" ref="L25:AE25" ca="1" si="5">RANDBETWEEN(1,1000)</f>
        <v>169</v>
      </c>
      <c r="M25" s="5">
        <f t="shared" ca="1" si="5"/>
        <v>695</v>
      </c>
      <c r="N25" s="5">
        <f t="shared" ca="1" si="5"/>
        <v>401</v>
      </c>
      <c r="O25" s="5">
        <f t="shared" ca="1" si="5"/>
        <v>784</v>
      </c>
      <c r="P25" s="5">
        <f t="shared" ca="1" si="5"/>
        <v>260</v>
      </c>
      <c r="Q25" s="5">
        <f t="shared" ca="1" si="5"/>
        <v>116</v>
      </c>
      <c r="R25" s="5">
        <f t="shared" ca="1" si="5"/>
        <v>177</v>
      </c>
      <c r="S25" s="5">
        <f t="shared" ca="1" si="5"/>
        <v>664</v>
      </c>
      <c r="T25" s="5">
        <f t="shared" ca="1" si="5"/>
        <v>281</v>
      </c>
      <c r="U25" s="5">
        <f t="shared" ca="1" si="5"/>
        <v>129</v>
      </c>
      <c r="V25" s="5">
        <f t="shared" ca="1" si="5"/>
        <v>36</v>
      </c>
      <c r="W25" s="5">
        <f t="shared" ca="1" si="5"/>
        <v>706</v>
      </c>
      <c r="X25" s="5">
        <f t="shared" ca="1" si="5"/>
        <v>814</v>
      </c>
      <c r="Y25" s="5">
        <f t="shared" ca="1" si="5"/>
        <v>989</v>
      </c>
      <c r="Z25" s="5">
        <f t="shared" ca="1" si="5"/>
        <v>437</v>
      </c>
      <c r="AA25" s="5">
        <f t="shared" ca="1" si="5"/>
        <v>776</v>
      </c>
      <c r="AB25" s="5">
        <f t="shared" ca="1" si="5"/>
        <v>525</v>
      </c>
      <c r="AC25" s="5">
        <f t="shared" ca="1" si="5"/>
        <v>963</v>
      </c>
      <c r="AD25" s="5">
        <f t="shared" ca="1" si="5"/>
        <v>319</v>
      </c>
      <c r="AE25" s="5">
        <f t="shared" ca="1" si="5"/>
        <v>372</v>
      </c>
    </row>
    <row r="27" spans="1:31" x14ac:dyDescent="0.3">
      <c r="A27" s="4" t="s">
        <v>3</v>
      </c>
    </row>
    <row r="28" spans="1:31" x14ac:dyDescent="0.3">
      <c r="A28" t="s">
        <v>1</v>
      </c>
      <c r="B28">
        <v>2001</v>
      </c>
      <c r="C28">
        <v>2002</v>
      </c>
      <c r="D28">
        <v>2003</v>
      </c>
      <c r="E28">
        <v>2004</v>
      </c>
      <c r="F28">
        <v>2005</v>
      </c>
      <c r="G28">
        <v>2006</v>
      </c>
      <c r="H28">
        <v>2007</v>
      </c>
      <c r="I28">
        <v>2008</v>
      </c>
      <c r="J28">
        <v>2009</v>
      </c>
      <c r="K28">
        <v>2010</v>
      </c>
      <c r="L28">
        <v>2011</v>
      </c>
      <c r="M28">
        <v>2012</v>
      </c>
      <c r="N28">
        <v>2013</v>
      </c>
      <c r="O28">
        <v>2014</v>
      </c>
      <c r="P28">
        <v>2015</v>
      </c>
      <c r="Q28">
        <v>2016</v>
      </c>
      <c r="R28">
        <v>2017</v>
      </c>
      <c r="S28">
        <v>2018</v>
      </c>
      <c r="T28">
        <v>2019</v>
      </c>
      <c r="U28">
        <v>2020</v>
      </c>
      <c r="V28">
        <v>2021</v>
      </c>
      <c r="W28">
        <v>2022</v>
      </c>
      <c r="X28">
        <v>2023</v>
      </c>
      <c r="Y28">
        <v>2024</v>
      </c>
      <c r="Z28">
        <v>2025</v>
      </c>
      <c r="AA28">
        <v>2026</v>
      </c>
      <c r="AB28">
        <v>2027</v>
      </c>
      <c r="AC28">
        <v>2028</v>
      </c>
      <c r="AD28">
        <v>2029</v>
      </c>
      <c r="AE28">
        <v>2030</v>
      </c>
    </row>
    <row r="29" spans="1:31" x14ac:dyDescent="0.3">
      <c r="A29" s="2" t="s">
        <v>30</v>
      </c>
      <c r="B29" s="5">
        <f t="shared" ref="B29:Q38" ca="1" si="6">RANDBETWEEN(1,1000)</f>
        <v>450</v>
      </c>
      <c r="C29" s="5">
        <f t="shared" ca="1" si="6"/>
        <v>893</v>
      </c>
      <c r="D29" s="5">
        <f t="shared" ca="1" si="6"/>
        <v>505</v>
      </c>
      <c r="E29" s="5">
        <f t="shared" ca="1" si="6"/>
        <v>540</v>
      </c>
      <c r="F29" s="5">
        <f t="shared" ca="1" si="6"/>
        <v>117</v>
      </c>
      <c r="G29" s="5">
        <f t="shared" ca="1" si="6"/>
        <v>486</v>
      </c>
      <c r="H29" s="5">
        <f t="shared" ca="1" si="6"/>
        <v>396</v>
      </c>
      <c r="I29" s="5">
        <f t="shared" ca="1" si="6"/>
        <v>826</v>
      </c>
      <c r="J29" s="5">
        <f t="shared" ca="1" si="6"/>
        <v>857</v>
      </c>
      <c r="K29" s="5">
        <f t="shared" ca="1" si="6"/>
        <v>744</v>
      </c>
      <c r="L29" s="5">
        <f t="shared" ca="1" si="6"/>
        <v>566</v>
      </c>
      <c r="M29" s="5">
        <f t="shared" ca="1" si="6"/>
        <v>879</v>
      </c>
      <c r="N29" s="5">
        <f t="shared" ca="1" si="6"/>
        <v>228</v>
      </c>
      <c r="O29" s="5">
        <f t="shared" ca="1" si="6"/>
        <v>40</v>
      </c>
      <c r="P29" s="5">
        <f t="shared" ca="1" si="6"/>
        <v>891</v>
      </c>
      <c r="Q29" s="5">
        <f t="shared" ca="1" si="6"/>
        <v>613</v>
      </c>
      <c r="R29" s="5">
        <f t="shared" ref="C29:AE38" ca="1" si="7">RANDBETWEEN(1,1000)</f>
        <v>547</v>
      </c>
      <c r="S29" s="5">
        <f t="shared" ca="1" si="7"/>
        <v>110</v>
      </c>
      <c r="T29" s="5">
        <f t="shared" ca="1" si="7"/>
        <v>104</v>
      </c>
      <c r="U29" s="5">
        <f t="shared" ca="1" si="7"/>
        <v>606</v>
      </c>
      <c r="V29" s="5">
        <f t="shared" ca="1" si="7"/>
        <v>344</v>
      </c>
      <c r="W29" s="5">
        <f t="shared" ca="1" si="7"/>
        <v>222</v>
      </c>
      <c r="X29" s="5">
        <f t="shared" ca="1" si="7"/>
        <v>331</v>
      </c>
      <c r="Y29" s="5">
        <f t="shared" ca="1" si="7"/>
        <v>397</v>
      </c>
      <c r="Z29" s="5">
        <f t="shared" ca="1" si="7"/>
        <v>649</v>
      </c>
      <c r="AA29" s="5">
        <f t="shared" ca="1" si="7"/>
        <v>573</v>
      </c>
      <c r="AB29" s="5">
        <f t="shared" ca="1" si="7"/>
        <v>419</v>
      </c>
      <c r="AC29" s="5">
        <f t="shared" ca="1" si="7"/>
        <v>45</v>
      </c>
      <c r="AD29" s="5">
        <f t="shared" ca="1" si="7"/>
        <v>86</v>
      </c>
      <c r="AE29" s="5">
        <f t="shared" ca="1" si="7"/>
        <v>552</v>
      </c>
    </row>
    <row r="30" spans="1:31" x14ac:dyDescent="0.3">
      <c r="A30" s="2" t="s">
        <v>31</v>
      </c>
      <c r="B30" s="5">
        <f t="shared" ca="1" si="6"/>
        <v>281</v>
      </c>
      <c r="C30" s="5">
        <f t="shared" ca="1" si="7"/>
        <v>765</v>
      </c>
      <c r="D30" s="5">
        <f t="shared" ca="1" si="7"/>
        <v>495</v>
      </c>
      <c r="E30" s="5">
        <f t="shared" ca="1" si="7"/>
        <v>528</v>
      </c>
      <c r="F30" s="5">
        <f t="shared" ca="1" si="7"/>
        <v>114</v>
      </c>
      <c r="G30" s="5">
        <f t="shared" ca="1" si="7"/>
        <v>118</v>
      </c>
      <c r="H30" s="5">
        <f t="shared" ca="1" si="7"/>
        <v>185</v>
      </c>
      <c r="I30" s="5">
        <f t="shared" ca="1" si="7"/>
        <v>686</v>
      </c>
      <c r="J30" s="5">
        <f t="shared" ca="1" si="7"/>
        <v>997</v>
      </c>
      <c r="K30" s="5">
        <f t="shared" ca="1" si="7"/>
        <v>818</v>
      </c>
      <c r="L30" s="5">
        <f t="shared" ca="1" si="7"/>
        <v>781</v>
      </c>
      <c r="M30" s="5">
        <f t="shared" ca="1" si="7"/>
        <v>176</v>
      </c>
      <c r="N30" s="5">
        <f t="shared" ca="1" si="7"/>
        <v>668</v>
      </c>
      <c r="O30" s="5">
        <f t="shared" ca="1" si="7"/>
        <v>463</v>
      </c>
      <c r="P30" s="5">
        <f t="shared" ca="1" si="7"/>
        <v>78</v>
      </c>
      <c r="Q30" s="5">
        <f t="shared" ca="1" si="7"/>
        <v>995</v>
      </c>
      <c r="R30" s="5">
        <f t="shared" ca="1" si="7"/>
        <v>101</v>
      </c>
      <c r="S30" s="5">
        <f t="shared" ca="1" si="7"/>
        <v>4</v>
      </c>
      <c r="T30" s="5">
        <f t="shared" ca="1" si="7"/>
        <v>816</v>
      </c>
      <c r="U30" s="5">
        <f t="shared" ca="1" si="7"/>
        <v>885</v>
      </c>
      <c r="V30" s="5">
        <f t="shared" ca="1" si="7"/>
        <v>979</v>
      </c>
      <c r="W30" s="5">
        <f t="shared" ca="1" si="7"/>
        <v>71</v>
      </c>
      <c r="X30" s="5">
        <f t="shared" ca="1" si="7"/>
        <v>625</v>
      </c>
      <c r="Y30" s="5">
        <f t="shared" ca="1" si="7"/>
        <v>672</v>
      </c>
      <c r="Z30" s="5">
        <f t="shared" ca="1" si="7"/>
        <v>856</v>
      </c>
      <c r="AA30" s="5">
        <f t="shared" ca="1" si="7"/>
        <v>589</v>
      </c>
      <c r="AB30" s="5">
        <f t="shared" ca="1" si="7"/>
        <v>787</v>
      </c>
      <c r="AC30" s="5">
        <f t="shared" ca="1" si="7"/>
        <v>837</v>
      </c>
      <c r="AD30" s="5">
        <f t="shared" ca="1" si="7"/>
        <v>522</v>
      </c>
      <c r="AE30" s="5">
        <f t="shared" ca="1" si="7"/>
        <v>455</v>
      </c>
    </row>
    <row r="31" spans="1:31" x14ac:dyDescent="0.3">
      <c r="A31" s="2" t="s">
        <v>32</v>
      </c>
      <c r="B31" s="5">
        <f t="shared" ca="1" si="6"/>
        <v>101</v>
      </c>
      <c r="C31" s="5">
        <f t="shared" ca="1" si="7"/>
        <v>507</v>
      </c>
      <c r="D31" s="5">
        <f t="shared" ca="1" si="7"/>
        <v>110</v>
      </c>
      <c r="E31" s="5">
        <f t="shared" ca="1" si="7"/>
        <v>802</v>
      </c>
      <c r="F31" s="5">
        <f t="shared" ca="1" si="7"/>
        <v>217</v>
      </c>
      <c r="G31" s="5">
        <f t="shared" ca="1" si="7"/>
        <v>169</v>
      </c>
      <c r="H31" s="5">
        <f t="shared" ca="1" si="7"/>
        <v>468</v>
      </c>
      <c r="I31" s="5">
        <f t="shared" ca="1" si="7"/>
        <v>131</v>
      </c>
      <c r="J31" s="5">
        <f t="shared" ca="1" si="7"/>
        <v>895</v>
      </c>
      <c r="K31" s="5">
        <f t="shared" ca="1" si="7"/>
        <v>759</v>
      </c>
      <c r="L31" s="5">
        <f t="shared" ca="1" si="7"/>
        <v>918</v>
      </c>
      <c r="M31" s="5">
        <f t="shared" ca="1" si="7"/>
        <v>943</v>
      </c>
      <c r="N31" s="5">
        <f t="shared" ca="1" si="7"/>
        <v>347</v>
      </c>
      <c r="O31" s="5">
        <f t="shared" ca="1" si="7"/>
        <v>791</v>
      </c>
      <c r="P31" s="5">
        <f t="shared" ca="1" si="7"/>
        <v>863</v>
      </c>
      <c r="Q31" s="5">
        <f t="shared" ca="1" si="7"/>
        <v>15</v>
      </c>
      <c r="R31" s="5">
        <f t="shared" ca="1" si="7"/>
        <v>269</v>
      </c>
      <c r="S31" s="5">
        <f t="shared" ca="1" si="7"/>
        <v>612</v>
      </c>
      <c r="T31" s="5">
        <f t="shared" ca="1" si="7"/>
        <v>279</v>
      </c>
      <c r="U31" s="5">
        <f t="shared" ca="1" si="7"/>
        <v>830</v>
      </c>
      <c r="V31" s="5">
        <f t="shared" ca="1" si="7"/>
        <v>130</v>
      </c>
      <c r="W31" s="5">
        <f t="shared" ca="1" si="7"/>
        <v>946</v>
      </c>
      <c r="X31" s="5">
        <f t="shared" ca="1" si="7"/>
        <v>268</v>
      </c>
      <c r="Y31" s="5">
        <f t="shared" ca="1" si="7"/>
        <v>970</v>
      </c>
      <c r="Z31" s="5">
        <f t="shared" ca="1" si="7"/>
        <v>463</v>
      </c>
      <c r="AA31" s="5">
        <f t="shared" ca="1" si="7"/>
        <v>404</v>
      </c>
      <c r="AB31" s="5">
        <f t="shared" ca="1" si="7"/>
        <v>642</v>
      </c>
      <c r="AC31" s="5">
        <f t="shared" ca="1" si="7"/>
        <v>276</v>
      </c>
      <c r="AD31" s="5">
        <f t="shared" ca="1" si="7"/>
        <v>700</v>
      </c>
      <c r="AE31" s="5">
        <f t="shared" ca="1" si="7"/>
        <v>202</v>
      </c>
    </row>
    <row r="32" spans="1:31" x14ac:dyDescent="0.3">
      <c r="A32" s="2" t="s">
        <v>33</v>
      </c>
      <c r="B32" s="5">
        <f t="shared" ca="1" si="6"/>
        <v>766</v>
      </c>
      <c r="C32" s="5">
        <f t="shared" ca="1" si="7"/>
        <v>472</v>
      </c>
      <c r="D32" s="5">
        <f t="shared" ca="1" si="7"/>
        <v>710</v>
      </c>
      <c r="E32" s="5">
        <f t="shared" ca="1" si="7"/>
        <v>54</v>
      </c>
      <c r="F32" s="5">
        <f t="shared" ca="1" si="7"/>
        <v>858</v>
      </c>
      <c r="G32" s="5">
        <f t="shared" ca="1" si="7"/>
        <v>330</v>
      </c>
      <c r="H32" s="5">
        <f t="shared" ca="1" si="7"/>
        <v>568</v>
      </c>
      <c r="I32" s="5">
        <f t="shared" ca="1" si="7"/>
        <v>217</v>
      </c>
      <c r="J32" s="5">
        <f t="shared" ca="1" si="7"/>
        <v>787</v>
      </c>
      <c r="K32" s="5">
        <f t="shared" ca="1" si="7"/>
        <v>850</v>
      </c>
      <c r="L32" s="5">
        <f t="shared" ca="1" si="7"/>
        <v>684</v>
      </c>
      <c r="M32" s="5">
        <f t="shared" ca="1" si="7"/>
        <v>641</v>
      </c>
      <c r="N32" s="5">
        <f t="shared" ca="1" si="7"/>
        <v>295</v>
      </c>
      <c r="O32" s="5">
        <f t="shared" ca="1" si="7"/>
        <v>71</v>
      </c>
      <c r="P32" s="5">
        <f t="shared" ca="1" si="7"/>
        <v>29</v>
      </c>
      <c r="Q32" s="5">
        <f t="shared" ca="1" si="7"/>
        <v>933</v>
      </c>
      <c r="R32" s="5">
        <f t="shared" ca="1" si="7"/>
        <v>695</v>
      </c>
      <c r="S32" s="5">
        <f t="shared" ca="1" si="7"/>
        <v>840</v>
      </c>
      <c r="T32" s="5">
        <f t="shared" ca="1" si="7"/>
        <v>19</v>
      </c>
      <c r="U32" s="5">
        <f t="shared" ca="1" si="7"/>
        <v>920</v>
      </c>
      <c r="V32" s="5">
        <f t="shared" ca="1" si="7"/>
        <v>421</v>
      </c>
      <c r="W32" s="5">
        <f t="shared" ca="1" si="7"/>
        <v>538</v>
      </c>
      <c r="X32" s="5">
        <f t="shared" ca="1" si="7"/>
        <v>694</v>
      </c>
      <c r="Y32" s="5">
        <f t="shared" ca="1" si="7"/>
        <v>212</v>
      </c>
      <c r="Z32" s="5">
        <f t="shared" ca="1" si="7"/>
        <v>878</v>
      </c>
      <c r="AA32" s="5">
        <f t="shared" ca="1" si="7"/>
        <v>740</v>
      </c>
      <c r="AB32" s="5">
        <f t="shared" ca="1" si="7"/>
        <v>239</v>
      </c>
      <c r="AC32" s="5">
        <f t="shared" ca="1" si="7"/>
        <v>223</v>
      </c>
      <c r="AD32" s="5">
        <f t="shared" ca="1" si="7"/>
        <v>868</v>
      </c>
      <c r="AE32" s="5">
        <f t="shared" ca="1" si="7"/>
        <v>738</v>
      </c>
    </row>
    <row r="33" spans="1:31" x14ac:dyDescent="0.3">
      <c r="A33" s="2" t="s">
        <v>34</v>
      </c>
      <c r="B33" s="5">
        <f t="shared" ca="1" si="6"/>
        <v>443</v>
      </c>
      <c r="C33" s="5">
        <f t="shared" ca="1" si="7"/>
        <v>434</v>
      </c>
      <c r="D33" s="5">
        <f t="shared" ca="1" si="7"/>
        <v>776</v>
      </c>
      <c r="E33" s="5">
        <f t="shared" ca="1" si="7"/>
        <v>9</v>
      </c>
      <c r="F33" s="5">
        <f t="shared" ca="1" si="7"/>
        <v>408</v>
      </c>
      <c r="G33" s="5">
        <f t="shared" ca="1" si="7"/>
        <v>390</v>
      </c>
      <c r="H33" s="5">
        <f t="shared" ca="1" si="7"/>
        <v>384</v>
      </c>
      <c r="I33" s="5">
        <f t="shared" ca="1" si="7"/>
        <v>406</v>
      </c>
      <c r="J33" s="5">
        <f t="shared" ca="1" si="7"/>
        <v>510</v>
      </c>
      <c r="K33" s="5">
        <f t="shared" ca="1" si="7"/>
        <v>214</v>
      </c>
      <c r="L33" s="5">
        <f t="shared" ca="1" si="7"/>
        <v>288</v>
      </c>
      <c r="M33" s="5">
        <f t="shared" ca="1" si="7"/>
        <v>539</v>
      </c>
      <c r="N33" s="5">
        <f t="shared" ca="1" si="7"/>
        <v>392</v>
      </c>
      <c r="O33" s="5">
        <f t="shared" ca="1" si="7"/>
        <v>912</v>
      </c>
      <c r="P33" s="5">
        <f t="shared" ca="1" si="7"/>
        <v>321</v>
      </c>
      <c r="Q33" s="5">
        <f t="shared" ca="1" si="7"/>
        <v>495</v>
      </c>
      <c r="R33" s="5">
        <f t="shared" ca="1" si="7"/>
        <v>974</v>
      </c>
      <c r="S33" s="5">
        <f t="shared" ca="1" si="7"/>
        <v>138</v>
      </c>
      <c r="T33" s="5">
        <f t="shared" ca="1" si="7"/>
        <v>941</v>
      </c>
      <c r="U33" s="5">
        <f t="shared" ca="1" si="7"/>
        <v>31</v>
      </c>
      <c r="V33" s="5">
        <f t="shared" ca="1" si="7"/>
        <v>720</v>
      </c>
      <c r="W33" s="5">
        <f t="shared" ca="1" si="7"/>
        <v>517</v>
      </c>
      <c r="X33" s="5">
        <f t="shared" ca="1" si="7"/>
        <v>136</v>
      </c>
      <c r="Y33" s="5">
        <f t="shared" ca="1" si="7"/>
        <v>352</v>
      </c>
      <c r="Z33" s="5">
        <f t="shared" ca="1" si="7"/>
        <v>588</v>
      </c>
      <c r="AA33" s="5">
        <f t="shared" ca="1" si="7"/>
        <v>288</v>
      </c>
      <c r="AB33" s="5">
        <f t="shared" ca="1" si="7"/>
        <v>874</v>
      </c>
      <c r="AC33" s="5">
        <f t="shared" ca="1" si="7"/>
        <v>899</v>
      </c>
      <c r="AD33" s="5">
        <f t="shared" ca="1" si="7"/>
        <v>824</v>
      </c>
      <c r="AE33" s="5">
        <f t="shared" ca="1" si="7"/>
        <v>637</v>
      </c>
    </row>
    <row r="34" spans="1:31" x14ac:dyDescent="0.3">
      <c r="A34" s="2" t="s">
        <v>35</v>
      </c>
      <c r="B34" s="5">
        <f t="shared" ca="1" si="6"/>
        <v>961</v>
      </c>
      <c r="C34" s="5">
        <f t="shared" ca="1" si="7"/>
        <v>35</v>
      </c>
      <c r="D34" s="5">
        <f t="shared" ca="1" si="7"/>
        <v>550</v>
      </c>
      <c r="E34" s="5">
        <f t="shared" ca="1" si="7"/>
        <v>647</v>
      </c>
      <c r="F34" s="5">
        <f t="shared" ca="1" si="7"/>
        <v>545</v>
      </c>
      <c r="G34" s="5">
        <f t="shared" ca="1" si="7"/>
        <v>181</v>
      </c>
      <c r="H34" s="5">
        <f t="shared" ca="1" si="7"/>
        <v>529</v>
      </c>
      <c r="I34" s="5">
        <f t="shared" ca="1" si="7"/>
        <v>866</v>
      </c>
      <c r="J34" s="5">
        <f t="shared" ca="1" si="7"/>
        <v>51</v>
      </c>
      <c r="K34" s="5">
        <f t="shared" ca="1" si="7"/>
        <v>90</v>
      </c>
      <c r="L34" s="5">
        <f t="shared" ca="1" si="7"/>
        <v>805</v>
      </c>
      <c r="M34" s="5">
        <f t="shared" ca="1" si="7"/>
        <v>490</v>
      </c>
      <c r="N34" s="5">
        <f t="shared" ca="1" si="7"/>
        <v>373</v>
      </c>
      <c r="O34" s="5">
        <f t="shared" ca="1" si="7"/>
        <v>99</v>
      </c>
      <c r="P34" s="5">
        <f t="shared" ca="1" si="7"/>
        <v>301</v>
      </c>
      <c r="Q34" s="5">
        <f t="shared" ca="1" si="7"/>
        <v>663</v>
      </c>
      <c r="R34" s="5">
        <f t="shared" ca="1" si="7"/>
        <v>42</v>
      </c>
      <c r="S34" s="5">
        <f t="shared" ca="1" si="7"/>
        <v>936</v>
      </c>
      <c r="T34" s="5">
        <f t="shared" ca="1" si="7"/>
        <v>629</v>
      </c>
      <c r="U34" s="5">
        <f t="shared" ca="1" si="7"/>
        <v>185</v>
      </c>
      <c r="V34" s="5">
        <f t="shared" ca="1" si="7"/>
        <v>578</v>
      </c>
      <c r="W34" s="5">
        <f t="shared" ca="1" si="7"/>
        <v>4</v>
      </c>
      <c r="X34" s="5">
        <f t="shared" ca="1" si="7"/>
        <v>127</v>
      </c>
      <c r="Y34" s="5">
        <f t="shared" ca="1" si="7"/>
        <v>10</v>
      </c>
      <c r="Z34" s="5">
        <f t="shared" ca="1" si="7"/>
        <v>460</v>
      </c>
      <c r="AA34" s="5">
        <f t="shared" ca="1" si="7"/>
        <v>554</v>
      </c>
      <c r="AB34" s="5">
        <f t="shared" ca="1" si="7"/>
        <v>53</v>
      </c>
      <c r="AC34" s="5">
        <f t="shared" ca="1" si="7"/>
        <v>903</v>
      </c>
      <c r="AD34" s="5">
        <f t="shared" ca="1" si="7"/>
        <v>841</v>
      </c>
      <c r="AE34" s="5">
        <f t="shared" ca="1" si="7"/>
        <v>130</v>
      </c>
    </row>
    <row r="35" spans="1:31" x14ac:dyDescent="0.3">
      <c r="A35" s="2" t="s">
        <v>36</v>
      </c>
      <c r="B35" s="5">
        <f t="shared" ca="1" si="6"/>
        <v>461</v>
      </c>
      <c r="C35" s="5">
        <f t="shared" ca="1" si="7"/>
        <v>628</v>
      </c>
      <c r="D35" s="5">
        <f t="shared" ca="1" si="7"/>
        <v>741</v>
      </c>
      <c r="E35" s="5">
        <f t="shared" ca="1" si="7"/>
        <v>550</v>
      </c>
      <c r="F35" s="5">
        <f t="shared" ca="1" si="7"/>
        <v>181</v>
      </c>
      <c r="G35" s="5">
        <f t="shared" ca="1" si="7"/>
        <v>876</v>
      </c>
      <c r="H35" s="5">
        <f t="shared" ca="1" si="7"/>
        <v>950</v>
      </c>
      <c r="I35" s="5">
        <f t="shared" ca="1" si="7"/>
        <v>691</v>
      </c>
      <c r="J35" s="5">
        <f t="shared" ca="1" si="7"/>
        <v>550</v>
      </c>
      <c r="K35" s="5">
        <f t="shared" ca="1" si="7"/>
        <v>821</v>
      </c>
      <c r="L35" s="5">
        <f t="shared" ca="1" si="7"/>
        <v>196</v>
      </c>
      <c r="M35" s="5">
        <f t="shared" ca="1" si="7"/>
        <v>191</v>
      </c>
      <c r="N35" s="5">
        <f t="shared" ca="1" si="7"/>
        <v>750</v>
      </c>
      <c r="O35" s="5">
        <f t="shared" ca="1" si="7"/>
        <v>241</v>
      </c>
      <c r="P35" s="5">
        <f t="shared" ca="1" si="7"/>
        <v>11</v>
      </c>
      <c r="Q35" s="5">
        <f t="shared" ca="1" si="7"/>
        <v>574</v>
      </c>
      <c r="R35" s="5">
        <f t="shared" ca="1" si="7"/>
        <v>68</v>
      </c>
      <c r="S35" s="5">
        <f t="shared" ca="1" si="7"/>
        <v>635</v>
      </c>
      <c r="T35" s="5">
        <f t="shared" ca="1" si="7"/>
        <v>413</v>
      </c>
      <c r="U35" s="5">
        <f t="shared" ca="1" si="7"/>
        <v>168</v>
      </c>
      <c r="V35" s="5">
        <f t="shared" ca="1" si="7"/>
        <v>332</v>
      </c>
      <c r="W35" s="5">
        <f t="shared" ca="1" si="7"/>
        <v>378</v>
      </c>
      <c r="X35" s="5">
        <f t="shared" ca="1" si="7"/>
        <v>58</v>
      </c>
      <c r="Y35" s="5">
        <f t="shared" ca="1" si="7"/>
        <v>436</v>
      </c>
      <c r="Z35" s="5">
        <f t="shared" ca="1" si="7"/>
        <v>836</v>
      </c>
      <c r="AA35" s="5">
        <f t="shared" ca="1" si="7"/>
        <v>157</v>
      </c>
      <c r="AB35" s="5">
        <f t="shared" ca="1" si="7"/>
        <v>983</v>
      </c>
      <c r="AC35" s="5">
        <f t="shared" ca="1" si="7"/>
        <v>540</v>
      </c>
      <c r="AD35" s="5">
        <f t="shared" ca="1" si="7"/>
        <v>863</v>
      </c>
      <c r="AE35" s="5">
        <f t="shared" ca="1" si="7"/>
        <v>660</v>
      </c>
    </row>
    <row r="36" spans="1:31" x14ac:dyDescent="0.3">
      <c r="A36" s="2" t="s">
        <v>37</v>
      </c>
      <c r="B36" s="5">
        <f t="shared" ca="1" si="6"/>
        <v>337</v>
      </c>
      <c r="C36" s="5">
        <f t="shared" ca="1" si="7"/>
        <v>599</v>
      </c>
      <c r="D36" s="5">
        <f t="shared" ca="1" si="7"/>
        <v>34</v>
      </c>
      <c r="E36" s="5">
        <f t="shared" ca="1" si="7"/>
        <v>535</v>
      </c>
      <c r="F36" s="5">
        <f t="shared" ca="1" si="7"/>
        <v>51</v>
      </c>
      <c r="G36" s="5">
        <f t="shared" ca="1" si="7"/>
        <v>884</v>
      </c>
      <c r="H36" s="5">
        <f t="shared" ca="1" si="7"/>
        <v>494</v>
      </c>
      <c r="I36" s="5">
        <f t="shared" ca="1" si="7"/>
        <v>281</v>
      </c>
      <c r="J36" s="5">
        <f t="shared" ca="1" si="7"/>
        <v>341</v>
      </c>
      <c r="K36" s="5">
        <f t="shared" ca="1" si="7"/>
        <v>760</v>
      </c>
      <c r="L36" s="5">
        <f t="shared" ca="1" si="7"/>
        <v>493</v>
      </c>
      <c r="M36" s="5">
        <f t="shared" ca="1" si="7"/>
        <v>652</v>
      </c>
      <c r="N36" s="5">
        <f t="shared" ca="1" si="7"/>
        <v>942</v>
      </c>
      <c r="O36" s="5">
        <f t="shared" ca="1" si="7"/>
        <v>228</v>
      </c>
      <c r="P36" s="5">
        <f t="shared" ca="1" si="7"/>
        <v>374</v>
      </c>
      <c r="Q36" s="5">
        <f t="shared" ca="1" si="7"/>
        <v>399</v>
      </c>
      <c r="R36" s="5">
        <f t="shared" ca="1" si="7"/>
        <v>258</v>
      </c>
      <c r="S36" s="5">
        <f t="shared" ca="1" si="7"/>
        <v>699</v>
      </c>
      <c r="T36" s="5">
        <f t="shared" ca="1" si="7"/>
        <v>925</v>
      </c>
      <c r="U36" s="5">
        <f t="shared" ca="1" si="7"/>
        <v>235</v>
      </c>
      <c r="V36" s="5">
        <f t="shared" ca="1" si="7"/>
        <v>975</v>
      </c>
      <c r="W36" s="5">
        <f t="shared" ca="1" si="7"/>
        <v>426</v>
      </c>
      <c r="X36" s="5">
        <f t="shared" ca="1" si="7"/>
        <v>746</v>
      </c>
      <c r="Y36" s="5">
        <f t="shared" ca="1" si="7"/>
        <v>334</v>
      </c>
      <c r="Z36" s="5">
        <f t="shared" ca="1" si="7"/>
        <v>930</v>
      </c>
      <c r="AA36" s="5">
        <f t="shared" ca="1" si="7"/>
        <v>565</v>
      </c>
      <c r="AB36" s="5">
        <f t="shared" ca="1" si="7"/>
        <v>171</v>
      </c>
      <c r="AC36" s="5">
        <f t="shared" ca="1" si="7"/>
        <v>662</v>
      </c>
      <c r="AD36" s="5">
        <f t="shared" ca="1" si="7"/>
        <v>703</v>
      </c>
      <c r="AE36" s="5">
        <f t="shared" ca="1" si="7"/>
        <v>622</v>
      </c>
    </row>
    <row r="37" spans="1:31" x14ac:dyDescent="0.3">
      <c r="A37" s="2" t="s">
        <v>38</v>
      </c>
      <c r="B37" s="5">
        <f t="shared" ca="1" si="6"/>
        <v>998</v>
      </c>
      <c r="C37" s="5">
        <f t="shared" ca="1" si="7"/>
        <v>134</v>
      </c>
      <c r="D37" s="5">
        <f t="shared" ca="1" si="7"/>
        <v>497</v>
      </c>
      <c r="E37" s="5">
        <f t="shared" ca="1" si="7"/>
        <v>356</v>
      </c>
      <c r="F37" s="5">
        <f t="shared" ca="1" si="7"/>
        <v>654</v>
      </c>
      <c r="G37" s="5">
        <f t="shared" ca="1" si="7"/>
        <v>276</v>
      </c>
      <c r="H37" s="5">
        <f t="shared" ca="1" si="7"/>
        <v>567</v>
      </c>
      <c r="I37" s="5">
        <f t="shared" ca="1" si="7"/>
        <v>328</v>
      </c>
      <c r="J37" s="5">
        <f t="shared" ca="1" si="7"/>
        <v>914</v>
      </c>
      <c r="K37" s="5">
        <f t="shared" ca="1" si="7"/>
        <v>311</v>
      </c>
      <c r="L37" s="5">
        <f t="shared" ca="1" si="7"/>
        <v>496</v>
      </c>
      <c r="M37" s="5">
        <f t="shared" ca="1" si="7"/>
        <v>951</v>
      </c>
      <c r="N37" s="5">
        <f t="shared" ca="1" si="7"/>
        <v>256</v>
      </c>
      <c r="O37" s="5">
        <f t="shared" ca="1" si="7"/>
        <v>921</v>
      </c>
      <c r="P37" s="5">
        <f t="shared" ca="1" si="7"/>
        <v>7</v>
      </c>
      <c r="Q37" s="5">
        <f t="shared" ca="1" si="7"/>
        <v>742</v>
      </c>
      <c r="R37" s="5">
        <f t="shared" ca="1" si="7"/>
        <v>526</v>
      </c>
      <c r="S37" s="5">
        <f t="shared" ca="1" si="7"/>
        <v>632</v>
      </c>
      <c r="T37" s="5">
        <f t="shared" ca="1" si="7"/>
        <v>686</v>
      </c>
      <c r="U37" s="5">
        <f t="shared" ca="1" si="7"/>
        <v>140</v>
      </c>
      <c r="V37" s="5">
        <f t="shared" ca="1" si="7"/>
        <v>293</v>
      </c>
      <c r="W37" s="5">
        <f t="shared" ca="1" si="7"/>
        <v>829</v>
      </c>
      <c r="X37" s="5">
        <f t="shared" ca="1" si="7"/>
        <v>188</v>
      </c>
      <c r="Y37" s="5">
        <f t="shared" ca="1" si="7"/>
        <v>122</v>
      </c>
      <c r="Z37" s="5">
        <f t="shared" ca="1" si="7"/>
        <v>830</v>
      </c>
      <c r="AA37" s="5">
        <f t="shared" ca="1" si="7"/>
        <v>40</v>
      </c>
      <c r="AB37" s="5">
        <f t="shared" ca="1" si="7"/>
        <v>874</v>
      </c>
      <c r="AC37" s="5">
        <f t="shared" ca="1" si="7"/>
        <v>761</v>
      </c>
      <c r="AD37" s="5">
        <f t="shared" ca="1" si="7"/>
        <v>920</v>
      </c>
      <c r="AE37" s="5">
        <f t="shared" ca="1" si="7"/>
        <v>674</v>
      </c>
    </row>
    <row r="38" spans="1:31" x14ac:dyDescent="0.3">
      <c r="A38" s="2" t="s">
        <v>39</v>
      </c>
      <c r="B38" s="5">
        <f t="shared" ca="1" si="6"/>
        <v>82</v>
      </c>
      <c r="C38" s="5">
        <f t="shared" ca="1" si="7"/>
        <v>930</v>
      </c>
      <c r="D38" s="5">
        <f t="shared" ca="1" si="7"/>
        <v>681</v>
      </c>
      <c r="E38" s="5">
        <f t="shared" ca="1" si="7"/>
        <v>547</v>
      </c>
      <c r="F38" s="5">
        <f t="shared" ca="1" si="7"/>
        <v>411</v>
      </c>
      <c r="G38" s="5">
        <f t="shared" ca="1" si="7"/>
        <v>268</v>
      </c>
      <c r="H38" s="5">
        <f t="shared" ca="1" si="7"/>
        <v>133</v>
      </c>
      <c r="I38" s="5">
        <f t="shared" ca="1" si="7"/>
        <v>249</v>
      </c>
      <c r="J38" s="5">
        <f t="shared" ca="1" si="7"/>
        <v>910</v>
      </c>
      <c r="K38" s="5">
        <f t="shared" ca="1" si="7"/>
        <v>953</v>
      </c>
      <c r="L38" s="5">
        <f t="shared" ref="L38:AE38" ca="1" si="8">RANDBETWEEN(1,1000)</f>
        <v>28</v>
      </c>
      <c r="M38" s="5">
        <f t="shared" ca="1" si="8"/>
        <v>965</v>
      </c>
      <c r="N38" s="5">
        <f t="shared" ca="1" si="8"/>
        <v>771</v>
      </c>
      <c r="O38" s="5">
        <f t="shared" ca="1" si="8"/>
        <v>892</v>
      </c>
      <c r="P38" s="5">
        <f t="shared" ca="1" si="8"/>
        <v>755</v>
      </c>
      <c r="Q38" s="5">
        <f t="shared" ca="1" si="8"/>
        <v>403</v>
      </c>
      <c r="R38" s="5">
        <f t="shared" ca="1" si="8"/>
        <v>665</v>
      </c>
      <c r="S38" s="5">
        <f t="shared" ca="1" si="8"/>
        <v>973</v>
      </c>
      <c r="T38" s="5">
        <f t="shared" ca="1" si="8"/>
        <v>878</v>
      </c>
      <c r="U38" s="5">
        <f t="shared" ca="1" si="8"/>
        <v>384</v>
      </c>
      <c r="V38" s="5">
        <f t="shared" ca="1" si="8"/>
        <v>477</v>
      </c>
      <c r="W38" s="5">
        <f t="shared" ca="1" si="8"/>
        <v>774</v>
      </c>
      <c r="X38" s="5">
        <f t="shared" ca="1" si="8"/>
        <v>148</v>
      </c>
      <c r="Y38" s="5">
        <f t="shared" ca="1" si="8"/>
        <v>390</v>
      </c>
      <c r="Z38" s="5">
        <f t="shared" ca="1" si="8"/>
        <v>192</v>
      </c>
      <c r="AA38" s="5">
        <f t="shared" ca="1" si="8"/>
        <v>613</v>
      </c>
      <c r="AB38" s="5">
        <f t="shared" ca="1" si="8"/>
        <v>291</v>
      </c>
      <c r="AC38" s="5">
        <f t="shared" ca="1" si="8"/>
        <v>863</v>
      </c>
      <c r="AD38" s="5">
        <f t="shared" ca="1" si="8"/>
        <v>456</v>
      </c>
      <c r="AE38" s="5">
        <f t="shared" ca="1" si="8"/>
        <v>639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Dashboard</vt:lpstr>
      <vt:lpstr>RawData</vt:lpstr>
      <vt:lpstr>Finance</vt:lpstr>
      <vt:lpstr>Finance_Data</vt:lpstr>
      <vt:lpstr>HR</vt:lpstr>
      <vt:lpstr>HR_Data</vt:lpstr>
      <vt:lpstr>Operation</vt:lpstr>
      <vt:lpstr>Operation_Data</vt:lpstr>
      <vt:lpstr>Year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Yogesh Shaligram</cp:lastModifiedBy>
  <dcterms:created xsi:type="dcterms:W3CDTF">2019-05-31T03:20:43Z</dcterms:created>
  <dcterms:modified xsi:type="dcterms:W3CDTF">2022-12-21T00:00:59Z</dcterms:modified>
</cp:coreProperties>
</file>